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portToPDF.png" ContentType="image/.png"/>
  <Override PartName="/customUI/images/ScrolltoEnd.png" ContentType="image/.png"/>
  <Override PartName="/customUI/images/YearlyView.png" ContentType="image/.png"/>
  <Override PartName="/customUI/images/DailyView.png" ContentType="image/.png"/>
  <Override PartName="/customUI/images/SetupTimeline.png" ContentType="image/.png"/>
  <Override PartName="/customUI/images/AddTask64.png" ContentType="application/octet-stream"/>
  <Override PartName="/customUI/images/HalfYearlyView.png" ContentType="image/.png"/>
  <Override PartName="/customUI/images/AddSection64.png" ContentType="application/octet-stream"/>
  <Override PartName="/customUI/images/ExportToXLSX.png" ContentType="image/.png"/>
  <Override PartName="/customUI/images/QuarterlyView.png" ContentType="image/.png"/>
  <Override PartName="/customUI/images/MonthlyView.png" ContentType="image/.png"/>
  <Override PartName="/customUI/images/HourlyView.png" ContentType="image/.png"/>
  <Override PartName="/customUI/images/AddMilestone.png" ContentType="image/.png"/>
  <Override PartName="/customUI/images/WeeklyView.png" ContentType="image/.png"/>
  <Override PartName="/customUI/images/deleteTask64.png" ContentType="application/octet-stream"/>
  <Override PartName="/customUI/images/ScrolltoStart.png" ContentType="image/.png"/>
  <Override PartName="/customUI/images/ScrolltoToday.png" ContentType="image/.png"/>
  <Override PartName="/customUI/images/moreviews.png" ContentType="image/.png"/>
  <Override PartName="/customUI/images/EditTask64.png" ContentType="application/octet-stream"/>
  <Override PartName="/customUI/images/AddGanttChart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obwessels\Downloads\"/>
    </mc:Choice>
  </mc:AlternateContent>
  <xr:revisionPtr revIDLastSave="0" documentId="13_ncr:1_{E8449816-0405-40BB-B0C2-19F23B08ECBD}" xr6:coauthVersionLast="45" xr6:coauthVersionMax="45" xr10:uidLastSave="{00000000-0000-0000-0000-000000000000}"/>
  <bookViews>
    <workbookView xWindow="-108" yWindow="-108" windowWidth="23256" windowHeight="12576" tabRatio="741" firstSheet="4" activeTab="5" xr2:uid="{00000000-000D-0000-FFFF-FFFF00000000}"/>
  </bookViews>
  <sheets>
    <sheet name="GanttChartTemplate" sheetId="4" state="veryHidden" r:id="rId1"/>
    <sheet name="GanttResourceTemplate" sheetId="47" state="veryHidden" r:id="rId2"/>
    <sheet name="GanttSettingsTemplate" sheetId="50" state="veryHidden" r:id="rId3"/>
    <sheet name="GanttDashboardTemplate" sheetId="3" state="veryHidden" r:id="rId4"/>
    <sheet name="Help" sheetId="7" r:id="rId5"/>
    <sheet name="Project Plan" sheetId="53" r:id="rId6"/>
    <sheet name="GS1" sheetId="52" state="veryHidden" r:id="rId7"/>
    <sheet name="RS1" sheetId="51" state="veryHidden" r:id="rId8"/>
  </sheets>
  <functionGroups builtInGroupCount="19"/>
  <definedNames>
    <definedName name="_xlnm.Print_Area" localSheetId="3">GanttDashboardTemplate!$B$1:$G$36</definedName>
    <definedName name="_xlnm.Print_Titles" localSheetId="3">GanttDashboardTemplate!$2:$2</definedName>
    <definedName name="VG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Z8" i="3" s="1"/>
  <c r="E8" i="3"/>
  <c r="Z7" i="3"/>
  <c r="E7" i="3"/>
  <c r="Z6" i="3"/>
  <c r="E6" i="3"/>
  <c r="X3" i="3"/>
  <c r="Y3" i="3" s="1"/>
  <c r="X16" i="3"/>
  <c r="Y9" i="3" l="1"/>
  <c r="Z9" i="3" s="1"/>
  <c r="E4" i="3"/>
</calcChain>
</file>

<file path=xl/sharedStrings.xml><?xml version="1.0" encoding="utf-8"?>
<sst xmlns="http://schemas.openxmlformats.org/spreadsheetml/2006/main" count="606" uniqueCount="260">
  <si>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</si>
  <si>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</si>
  <si>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</si>
  <si>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</si>
  <si>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</si>
  <si>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</si>
  <si>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</si>
  <si>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</si>
  <si>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</si>
  <si>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</si>
  <si>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</si>
  <si>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</si>
  <si>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</si>
  <si>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</si>
  <si>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</si>
  <si>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</si>
  <si>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</si>
  <si>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</si>
  <si>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</si>
  <si>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</si>
  <si>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</si>
  <si>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</si>
  <si>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</si>
  <si>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</si>
  <si>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</si>
  <si>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</si>
  <si>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</si>
  <si>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</si>
  <si>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</si>
  <si>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</si>
  <si>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</si>
  <si>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</si>
  <si>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</si>
  <si>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</si>
  <si>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</si>
  <si>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</si>
  <si>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</si>
  <si>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</si>
  <si>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</si>
  <si>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</si>
  <si>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</si>
  <si>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</si>
  <si>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</si>
  <si>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</si>
  <si>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</si>
  <si>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</si>
  <si>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</si>
  <si>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</si>
  <si>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</si>
  <si>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</si>
  <si>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</si>
  <si>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</si>
  <si>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</si>
  <si>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</si>
  <si>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</si>
  <si>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</si>
  <si>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</si>
  <si>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</si>
  <si>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</si>
  <si>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</si>
  <si>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</si>
  <si>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</si>
  <si>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</si>
  <si>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</si>
  <si>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</si>
  <si>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</si>
  <si>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</si>
  <si>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</si>
  <si>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</si>
  <si>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</si>
  <si>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</si>
  <si>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</si>
  <si>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</si>
  <si>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</si>
  <si>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</si>
  <si>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</si>
  <si>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</si>
  <si>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</si>
  <si>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</si>
  <si>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</si>
  <si>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</si>
  <si>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</si>
  <si>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</si>
  <si>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</si>
  <si>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</si>
  <si>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</si>
  <si>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</si>
  <si>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</si>
  <si>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</si>
  <si>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</si>
  <si>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</si>
  <si>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</si>
  <si>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EC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</si>
  <si>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</si>
  <si>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</si>
  <si>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</si>
  <si>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</si>
  <si>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</si>
  <si>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</si>
  <si>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</si>
  <si>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</si>
  <si>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</si>
  <si>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</si>
  <si>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</si>
  <si>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</si>
  <si>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</si>
  <si>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</si>
  <si>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CurrencySymbol</t>
  </si>
  <si>
    <t>TotalACS</t>
  </si>
  <si>
    <t>ActualCosts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</si>
  <si>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</si>
  <si>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</si>
  <si>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</si>
  <si>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</si>
  <si>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</si>
  <si>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</si>
  <si>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</si>
  <si>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</si>
  <si>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</si>
  <si>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</si>
  <si>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</si>
  <si>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</si>
  <si>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</si>
  <si>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</si>
  <si>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liky</t>
  </si>
  <si>
    <t>0</t>
  </si>
  <si>
    <t>1</t>
  </si>
  <si>
    <t>Lead Generation</t>
  </si>
  <si>
    <t>31,726</t>
  </si>
  <si>
    <t>MP</t>
  </si>
  <si>
    <t>Percent Complete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</si>
  <si>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</si>
  <si>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</si>
  <si>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</si>
  <si>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</si>
  <si>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</si>
  <si>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</si>
  <si>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</si>
  <si>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</si>
  <si>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</si>
  <si>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</si>
  <si>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</si>
  <si>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</si>
  <si>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</si>
  <si>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</si>
  <si>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</si>
  <si>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</si>
  <si>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FiSa</t>
  </si>
  <si>
    <t>asdflkjl</t>
  </si>
  <si>
    <t>;J=,F\)-'+%tyzivm":YHs</t>
  </si>
  <si>
    <t>Dark</t>
  </si>
  <si>
    <t>Classic</t>
  </si>
  <si>
    <t>Blue</t>
  </si>
  <si>
    <t>Excel</t>
  </si>
  <si>
    <t>Custom</t>
  </si>
  <si>
    <t>Holidays</t>
  </si>
  <si>
    <t>Project Lead:</t>
  </si>
  <si>
    <t>Use the Gantt Tab in the Excel Ribbon to Create, view and edit Gantt Charts</t>
  </si>
  <si>
    <t>2.71.4</t>
  </si>
  <si>
    <t>Enable Macros</t>
  </si>
  <si>
    <t>Resource</t>
  </si>
  <si>
    <t>Workhours Start</t>
  </si>
  <si>
    <t>Workhours End</t>
  </si>
  <si>
    <t>Organization</t>
  </si>
  <si>
    <t>Use Org Holidays</t>
  </si>
  <si>
    <t>DO NOT MODIFY THIS SHEET OR INSERT COLUMNS</t>
  </si>
  <si>
    <t>Department</t>
  </si>
  <si>
    <t>ThemeName</t>
  </si>
  <si>
    <t>SelectedTheme</t>
  </si>
  <si>
    <t>EBC</t>
  </si>
  <si>
    <t>EMC</t>
  </si>
  <si>
    <t>PCC</t>
  </si>
  <si>
    <t>BBC</t>
  </si>
  <si>
    <t>ABC</t>
  </si>
  <si>
    <t>OBC</t>
  </si>
  <si>
    <t>TLC</t>
  </si>
  <si>
    <t>TBC</t>
  </si>
  <si>
    <t>PBC</t>
  </si>
  <si>
    <t>HBC</t>
  </si>
  <si>
    <t>HC</t>
  </si>
  <si>
    <t>WC</t>
  </si>
  <si>
    <t>CR1C</t>
  </si>
  <si>
    <t>CR2C</t>
  </si>
  <si>
    <t>CR3C</t>
  </si>
  <si>
    <t>TGB</t>
  </si>
  <si>
    <t>DLC</t>
  </si>
  <si>
    <t>HCOL</t>
  </si>
  <si>
    <t>DCOL</t>
  </si>
  <si>
    <t>WCOL</t>
  </si>
  <si>
    <t>MCOL</t>
  </si>
  <si>
    <t>QCOL</t>
  </si>
  <si>
    <t>HYCOL</t>
  </si>
  <si>
    <t>YCOL</t>
  </si>
  <si>
    <t>HWID</t>
  </si>
  <si>
    <t>DWID</t>
  </si>
  <si>
    <t>WWID</t>
  </si>
  <si>
    <t>MWID</t>
  </si>
  <si>
    <t>QWID</t>
  </si>
  <si>
    <t>YWID</t>
  </si>
  <si>
    <t>HYWID</t>
  </si>
  <si>
    <t>ds082</t>
  </si>
  <si>
    <t>CR12C</t>
  </si>
  <si>
    <t>RCCal</t>
  </si>
  <si>
    <t>GBC</t>
  </si>
  <si>
    <t>PTRC</t>
  </si>
  <si>
    <t>TSD</t>
  </si>
  <si>
    <t>TED</t>
  </si>
  <si>
    <t>ShowTimelineGrid</t>
  </si>
  <si>
    <t>ShowHolidays</t>
  </si>
  <si>
    <t>ShowWeekends</t>
  </si>
  <si>
    <t>ShowHolidaysPR</t>
  </si>
  <si>
    <t>ShowWeekendsPR</t>
  </si>
  <si>
    <t>HCPR</t>
  </si>
  <si>
    <t>WCPR</t>
  </si>
  <si>
    <t>SS</t>
  </si>
  <si>
    <t>9</t>
  </si>
  <si>
    <t>LC</t>
  </si>
  <si>
    <t>RefreshTimeline</t>
  </si>
  <si>
    <t>resourcesettings</t>
  </si>
  <si>
    <t>CalcAED</t>
  </si>
  <si>
    <t>CalcBED</t>
  </si>
  <si>
    <t>GCTYPE</t>
  </si>
  <si>
    <t>GRT</t>
  </si>
  <si>
    <t>TimelineVisible</t>
  </si>
  <si>
    <t>ShowEstBaseBar</t>
  </si>
  <si>
    <t>EBaseC</t>
  </si>
  <si>
    <t>Priority</t>
  </si>
  <si>
    <t>Status</t>
  </si>
  <si>
    <t>TPCH</t>
  </si>
  <si>
    <t>TPCN</t>
  </si>
  <si>
    <t>TPCL</t>
  </si>
  <si>
    <t>TSCC</t>
  </si>
  <si>
    <t>TSCI</t>
  </si>
  <si>
    <t>TSCP</t>
  </si>
  <si>
    <t>ProjectName</t>
  </si>
  <si>
    <t>TaskType</t>
  </si>
  <si>
    <t>SSN</t>
  </si>
  <si>
    <t>TIL</t>
  </si>
  <si>
    <t>For Windows Excel versions 2007 - 2016 and MAC Excel Version 2016 and above</t>
  </si>
  <si>
    <t>PTDS</t>
  </si>
  <si>
    <t>T42VP</t>
  </si>
  <si>
    <t>TR8"{.TE</t>
  </si>
  <si>
    <t>DTA;Bd9fz )I-snug$:YHs</t>
  </si>
  <si>
    <t>Gantt Excel</t>
  </si>
  <si>
    <t>N4fL3sgyYf-Gm2xds9E-6dG7b72mev</t>
  </si>
  <si>
    <t>RS1</t>
  </si>
  <si>
    <t>u</t>
  </si>
  <si>
    <t>M</t>
  </si>
  <si>
    <t>W5</t>
  </si>
  <si>
    <t>W</t>
  </si>
  <si>
    <t>F</t>
  </si>
  <si>
    <t>S</t>
  </si>
  <si>
    <t>W6</t>
  </si>
  <si>
    <t>W7</t>
  </si>
  <si>
    <t>W8</t>
  </si>
  <si>
    <t>W9</t>
  </si>
  <si>
    <t>Project Name - Click to Edit</t>
  </si>
  <si>
    <t>Project Lead: Click to edit</t>
  </si>
  <si>
    <r>
      <t>Project Budget</t>
    </r>
    <r>
      <rPr>
        <sz val="10"/>
        <color theme="0" tint="-0.499984740745262"/>
        <rFont val="Calibri"/>
        <family val="2"/>
        <scheme val="minor"/>
      </rPr>
      <t xml:space="preserve">: Estimated: $0.00 | Baseline: $0.00 | </t>
    </r>
    <r>
      <rPr>
        <b/>
        <sz val="10"/>
        <color theme="0" tint="-0.499984740745262"/>
        <rFont val="Calibri"/>
        <family val="2"/>
        <scheme val="minor"/>
      </rPr>
      <t>Task Costs</t>
    </r>
    <r>
      <rPr>
        <sz val="10"/>
        <color theme="0" tint="-0.499984740745262"/>
        <rFont val="Calibri"/>
        <family val="2"/>
        <scheme val="minor"/>
      </rPr>
      <t>: Estimated: $0.00 | Baseline: $0.00 | Actual: $0.00</t>
    </r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</si>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</sst>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Ft&quot;\ #,##0"/>
    <numFmt numFmtId="166" formatCode="ddd\ dd\-mmm\-yy"/>
    <numFmt numFmtId="167" formatCode="&quot;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Arial"/>
      <family val="2"/>
    </font>
    <font>
      <sz val="9"/>
      <color rgb="FFFF0000"/>
      <name val="Calibri"/>
      <family val="2"/>
      <scheme val="minor"/>
    </font>
    <font>
      <sz val="11"/>
      <color rgb="FF5B9BD5"/>
      <name val="Calibri"/>
      <family val="2"/>
      <scheme val="minor"/>
    </font>
    <font>
      <sz val="8"/>
      <color rgb="FF000000"/>
      <name val="Arial"/>
      <family val="2"/>
    </font>
    <font>
      <sz val="10"/>
      <color rgb="FFA8E7FE"/>
      <name val="Wingdings 3"/>
      <family val="1"/>
      <charset val="2"/>
    </font>
    <font>
      <b/>
      <sz val="8"/>
      <color rgb="FFFFFFFF"/>
      <name val="Calibri"/>
      <family val="2"/>
      <scheme val="minor"/>
    </font>
    <font>
      <sz val="8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rgb="FFF0FFDD"/>
        <bgColor indexed="64"/>
      </patternFill>
    </fill>
    <fill>
      <patternFill patternType="solid">
        <fgColor rgb="FFDCF9A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5B9BD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257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0" fillId="0" borderId="0" xfId="0" applyNumberFormat="1" applyFont="1"/>
    <xf numFmtId="3" fontId="11" fillId="0" borderId="3" xfId="0" applyNumberFormat="1" applyFont="1" applyBorder="1"/>
    <xf numFmtId="0" fontId="9" fillId="0" borderId="3" xfId="0" applyFont="1" applyBorder="1"/>
    <xf numFmtId="3" fontId="9" fillId="0" borderId="0" xfId="0" applyNumberFormat="1" applyFont="1"/>
    <xf numFmtId="3" fontId="9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9" fillId="0" borderId="0" xfId="3" applyFont="1" applyAlignment="1" applyProtection="1">
      <alignment horizontal="center" vertical="top"/>
      <protection locked="0"/>
    </xf>
    <xf numFmtId="15" fontId="9" fillId="0" borderId="0" xfId="0" applyNumberFormat="1" applyFont="1"/>
    <xf numFmtId="15" fontId="9" fillId="0" borderId="3" xfId="0" applyNumberFormat="1" applyFont="1" applyBorder="1"/>
    <xf numFmtId="0" fontId="9" fillId="0" borderId="0" xfId="0" applyFont="1" applyAlignment="1">
      <alignment horizontal="right"/>
    </xf>
    <xf numFmtId="0" fontId="9" fillId="0" borderId="3" xfId="0" applyFont="1" applyBorder="1" applyAlignment="1">
      <alignment horizontal="right"/>
    </xf>
    <xf numFmtId="0" fontId="11" fillId="0" borderId="0" xfId="4" applyFont="1" applyAlignment="1" applyProtection="1">
      <alignment vertical="top"/>
      <protection locked="0"/>
    </xf>
    <xf numFmtId="165" fontId="9" fillId="0" borderId="0" xfId="3" applyNumberFormat="1" applyFont="1" applyAlignment="1">
      <alignment horizontal="center" vertical="top"/>
    </xf>
    <xf numFmtId="0" fontId="9" fillId="0" borderId="0" xfId="3" applyNumberFormat="1" applyFont="1" applyAlignment="1" applyProtection="1">
      <alignment horizontal="center" vertical="top"/>
      <protection locked="0"/>
    </xf>
    <xf numFmtId="9" fontId="11" fillId="0" borderId="0" xfId="4" applyNumberFormat="1" applyFont="1" applyAlignment="1">
      <alignment horizontal="right" vertical="top"/>
    </xf>
    <xf numFmtId="165" fontId="11" fillId="0" borderId="0" xfId="4" applyNumberFormat="1" applyFont="1" applyAlignment="1">
      <alignment vertical="top"/>
    </xf>
    <xf numFmtId="0" fontId="11" fillId="0" borderId="0" xfId="4" applyFont="1" applyAlignment="1">
      <alignment vertical="top"/>
    </xf>
    <xf numFmtId="49" fontId="11" fillId="0" borderId="0" xfId="4" applyNumberFormat="1" applyFont="1" applyAlignment="1">
      <alignment horizontal="center" vertical="top"/>
    </xf>
    <xf numFmtId="0" fontId="9" fillId="0" borderId="0" xfId="4" applyFont="1" applyAlignment="1" applyProtection="1">
      <alignment horizontal="center" vertical="top"/>
      <protection locked="0"/>
    </xf>
    <xf numFmtId="166" fontId="11" fillId="0" borderId="0" xfId="4" applyNumberFormat="1" applyFont="1" applyAlignment="1" applyProtection="1">
      <alignment vertical="top"/>
      <protection locked="0"/>
    </xf>
    <xf numFmtId="49" fontId="11" fillId="0" borderId="0" xfId="4" applyNumberFormat="1" applyFont="1" applyAlignment="1" applyProtection="1">
      <alignment horizontal="right" vertical="top"/>
      <protection locked="0"/>
    </xf>
    <xf numFmtId="0" fontId="8" fillId="0" borderId="0" xfId="4" applyProtection="1">
      <protection locked="0"/>
    </xf>
    <xf numFmtId="0" fontId="13" fillId="3" borderId="0" xfId="0" applyFont="1" applyFill="1" applyAlignment="1">
      <alignment vertical="center"/>
    </xf>
    <xf numFmtId="0" fontId="20" fillId="0" borderId="3" xfId="0" applyFont="1" applyBorder="1"/>
    <xf numFmtId="0" fontId="0" fillId="4" borderId="0" xfId="0" applyFill="1" applyProtection="1">
      <protection locked="0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2" fillId="3" borderId="0" xfId="0" applyFont="1" applyFill="1"/>
    <xf numFmtId="0" fontId="0" fillId="3" borderId="6" xfId="0" applyFill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  <xf numFmtId="0" fontId="22" fillId="3" borderId="0" xfId="0" applyFont="1" applyFill="1" applyProtection="1">
      <protection locked="0"/>
    </xf>
    <xf numFmtId="0" fontId="22" fillId="3" borderId="5" xfId="0" applyFont="1" applyFill="1" applyBorder="1" applyProtection="1">
      <protection locked="0"/>
    </xf>
    <xf numFmtId="0" fontId="22" fillId="3" borderId="5" xfId="0" applyFont="1" applyFill="1" applyBorder="1" applyAlignment="1" applyProtection="1">
      <alignment horizontal="right"/>
      <protection locked="0"/>
    </xf>
    <xf numFmtId="0" fontId="22" fillId="3" borderId="2" xfId="0" applyFont="1" applyFill="1" applyBorder="1" applyAlignment="1" applyProtection="1">
      <alignment horizontal="right"/>
      <protection locked="0"/>
    </xf>
    <xf numFmtId="0" fontId="22" fillId="3" borderId="0" xfId="0" applyFont="1" applyFill="1" applyAlignment="1" applyProtection="1">
      <alignment horizontal="right"/>
      <protection locked="0"/>
    </xf>
    <xf numFmtId="9" fontId="22" fillId="3" borderId="5" xfId="0" applyNumberFormat="1" applyFont="1" applyFill="1" applyBorder="1" applyProtection="1">
      <protection locked="0"/>
    </xf>
    <xf numFmtId="9" fontId="22" fillId="3" borderId="5" xfId="0" applyNumberFormat="1" applyFont="1" applyFill="1" applyBorder="1" applyAlignment="1" applyProtection="1">
      <alignment horizontal="right"/>
      <protection locked="0"/>
    </xf>
    <xf numFmtId="9" fontId="22" fillId="3" borderId="0" xfId="0" applyNumberFormat="1" applyFont="1" applyFill="1" applyAlignment="1" applyProtection="1">
      <alignment horizontal="right"/>
      <protection locked="0"/>
    </xf>
    <xf numFmtId="164" fontId="11" fillId="0" borderId="0" xfId="4" applyNumberFormat="1" applyFont="1" applyAlignment="1">
      <alignment vertical="top"/>
    </xf>
    <xf numFmtId="164" fontId="11" fillId="0" borderId="0" xfId="4" applyNumberFormat="1" applyFont="1" applyAlignment="1">
      <alignment horizontal="right" vertical="top"/>
    </xf>
    <xf numFmtId="3" fontId="11" fillId="0" borderId="0" xfId="4" applyNumberFormat="1" applyFont="1" applyAlignment="1">
      <alignment horizontal="right" vertical="top"/>
    </xf>
    <xf numFmtId="3" fontId="9" fillId="0" borderId="0" xfId="3" applyNumberFormat="1" applyFont="1" applyAlignment="1">
      <alignment horizontal="center" vertical="top"/>
    </xf>
    <xf numFmtId="0" fontId="28" fillId="14" borderId="0" xfId="0" applyFont="1" applyFill="1"/>
    <xf numFmtId="20" fontId="28" fillId="14" borderId="0" xfId="0" applyNumberFormat="1" applyFont="1" applyFill="1"/>
    <xf numFmtId="0" fontId="30" fillId="14" borderId="0" xfId="4" applyFont="1" applyFill="1"/>
    <xf numFmtId="14" fontId="28" fillId="14" borderId="0" xfId="0" applyNumberFormat="1" applyFont="1" applyFill="1"/>
    <xf numFmtId="0" fontId="28" fillId="0" borderId="0" xfId="0" applyFont="1" applyFill="1"/>
    <xf numFmtId="18" fontId="28" fillId="0" borderId="0" xfId="0" applyNumberFormat="1" applyFont="1" applyFill="1"/>
    <xf numFmtId="14" fontId="28" fillId="0" borderId="0" xfId="0" applyNumberFormat="1" applyFont="1" applyFill="1"/>
    <xf numFmtId="0" fontId="8" fillId="0" borderId="0" xfId="4" applyBorder="1"/>
    <xf numFmtId="0" fontId="0" fillId="0" borderId="0" xfId="0" applyBorder="1"/>
    <xf numFmtId="0" fontId="28" fillId="0" borderId="0" xfId="0" applyFont="1" applyBorder="1"/>
    <xf numFmtId="0" fontId="8" fillId="0" borderId="0" xfId="4" applyFill="1" applyBorder="1"/>
    <xf numFmtId="0" fontId="8" fillId="0" borderId="0" xfId="4" applyBorder="1" applyProtection="1">
      <protection locked="0"/>
    </xf>
    <xf numFmtId="4" fontId="8" fillId="0" borderId="0" xfId="4" applyNumberFormat="1" applyBorder="1" applyProtection="1">
      <protection locked="0"/>
    </xf>
    <xf numFmtId="14" fontId="8" fillId="0" borderId="0" xfId="4" applyNumberFormat="1" applyBorder="1" applyProtection="1">
      <protection locked="0"/>
    </xf>
    <xf numFmtId="0" fontId="0" fillId="32" borderId="0" xfId="0" applyFill="1" applyBorder="1"/>
    <xf numFmtId="0" fontId="0" fillId="31" borderId="0" xfId="0" applyFill="1" applyBorder="1"/>
    <xf numFmtId="0" fontId="0" fillId="11" borderId="0" xfId="0" applyFill="1" applyBorder="1"/>
    <xf numFmtId="0" fontId="0" fillId="2" borderId="0" xfId="0" applyFill="1" applyBorder="1"/>
    <xf numFmtId="0" fontId="0" fillId="13" borderId="0" xfId="0" applyFill="1" applyBorder="1"/>
    <xf numFmtId="0" fontId="0" fillId="34" borderId="0" xfId="0" applyFill="1" applyBorder="1"/>
    <xf numFmtId="0" fontId="0" fillId="17" borderId="0" xfId="0" applyFill="1" applyBorder="1"/>
    <xf numFmtId="0" fontId="0" fillId="8" borderId="0" xfId="0" applyFill="1" applyBorder="1"/>
    <xf numFmtId="0" fontId="0" fillId="30" borderId="0" xfId="0" applyFill="1" applyBorder="1"/>
    <xf numFmtId="0" fontId="0" fillId="33" borderId="0" xfId="0" applyFill="1" applyBorder="1"/>
    <xf numFmtId="0" fontId="0" fillId="35" borderId="0" xfId="0" applyFill="1" applyBorder="1"/>
    <xf numFmtId="1" fontId="8" fillId="0" borderId="0" xfId="4" applyNumberFormat="1" applyBorder="1"/>
    <xf numFmtId="0" fontId="0" fillId="18" borderId="0" xfId="0" applyFill="1" applyBorder="1"/>
    <xf numFmtId="0" fontId="0" fillId="12" borderId="0" xfId="0" applyFill="1" applyBorder="1"/>
    <xf numFmtId="0" fontId="0" fillId="14" borderId="0" xfId="0" applyFill="1" applyBorder="1"/>
    <xf numFmtId="0" fontId="0" fillId="6" borderId="0" xfId="0" applyFill="1" applyBorder="1"/>
    <xf numFmtId="0" fontId="0" fillId="5" borderId="0" xfId="0" applyFill="1" applyBorder="1"/>
    <xf numFmtId="0" fontId="0" fillId="29" borderId="0" xfId="0" applyFill="1" applyBorder="1"/>
    <xf numFmtId="0" fontId="0" fillId="4" borderId="0" xfId="0" applyFill="1" applyBorder="1"/>
    <xf numFmtId="0" fontId="0" fillId="27" borderId="0" xfId="0" applyFill="1" applyBorder="1"/>
    <xf numFmtId="0" fontId="0" fillId="9" borderId="0" xfId="0" applyFill="1" applyBorder="1"/>
    <xf numFmtId="0" fontId="0" fillId="19" borderId="0" xfId="0" applyFill="1" applyBorder="1"/>
    <xf numFmtId="0" fontId="0" fillId="20" borderId="0" xfId="0" applyFill="1" applyBorder="1"/>
    <xf numFmtId="0" fontId="0" fillId="16" borderId="0" xfId="0" applyFill="1" applyBorder="1"/>
    <xf numFmtId="0" fontId="0" fillId="25" borderId="0" xfId="0" applyFill="1" applyBorder="1"/>
    <xf numFmtId="0" fontId="0" fillId="24" borderId="0" xfId="0" applyFill="1" applyBorder="1"/>
    <xf numFmtId="0" fontId="0" fillId="15" borderId="0" xfId="0" applyFill="1" applyBorder="1"/>
    <xf numFmtId="0" fontId="0" fillId="28" borderId="0" xfId="0" applyFill="1" applyBorder="1"/>
    <xf numFmtId="0" fontId="0" fillId="22" borderId="0" xfId="0" applyFill="1" applyBorder="1"/>
    <xf numFmtId="0" fontId="0" fillId="21" borderId="0" xfId="0" applyFill="1" applyBorder="1"/>
    <xf numFmtId="0" fontId="0" fillId="26" borderId="0" xfId="0" applyFill="1" applyBorder="1"/>
    <xf numFmtId="0" fontId="0" fillId="10" borderId="0" xfId="0" applyFill="1" applyBorder="1"/>
    <xf numFmtId="0" fontId="0" fillId="23" borderId="0" xfId="0" applyFill="1" applyBorder="1"/>
    <xf numFmtId="0" fontId="0" fillId="0" borderId="0" xfId="0" applyBorder="1" applyProtection="1">
      <protection locked="0"/>
    </xf>
    <xf numFmtId="0" fontId="8" fillId="0" borderId="0" xfId="4" applyFill="1" applyBorder="1" applyProtection="1">
      <protection locked="0"/>
    </xf>
    <xf numFmtId="49" fontId="8" fillId="0" borderId="0" xfId="4" applyNumberFormat="1" applyFill="1" applyBorder="1"/>
    <xf numFmtId="14" fontId="8" fillId="0" borderId="0" xfId="4" applyNumberFormat="1" applyFill="1" applyBorder="1" applyProtection="1">
      <protection locked="0"/>
    </xf>
    <xf numFmtId="0" fontId="8" fillId="0" borderId="0" xfId="4" applyNumberFormat="1" applyFill="1" applyBorder="1"/>
    <xf numFmtId="0" fontId="0" fillId="0" borderId="0" xfId="0"/>
    <xf numFmtId="0" fontId="19" fillId="6" borderId="0" xfId="4" applyFont="1" applyFill="1" applyBorder="1" applyAlignment="1" applyProtection="1">
      <alignment horizontal="left" vertical="center"/>
      <protection locked="0"/>
    </xf>
    <xf numFmtId="0" fontId="19" fillId="6" borderId="0" xfId="4" applyFont="1" applyFill="1" applyBorder="1" applyAlignment="1" applyProtection="1">
      <alignment vertical="center"/>
      <protection locked="0"/>
    </xf>
    <xf numFmtId="0" fontId="19" fillId="6" borderId="0" xfId="4" applyFont="1" applyFill="1" applyBorder="1" applyAlignment="1" applyProtection="1">
      <alignment horizontal="right" vertical="center"/>
      <protection locked="0"/>
    </xf>
    <xf numFmtId="9" fontId="19" fillId="6" borderId="0" xfId="4" applyNumberFormat="1" applyFont="1" applyFill="1" applyBorder="1" applyAlignment="1" applyProtection="1">
      <alignment vertical="center"/>
      <protection locked="0"/>
    </xf>
    <xf numFmtId="0" fontId="0" fillId="37" borderId="0" xfId="0" applyFill="1" applyBorder="1"/>
    <xf numFmtId="0" fontId="0" fillId="38" borderId="0" xfId="0" applyFill="1" applyBorder="1"/>
    <xf numFmtId="0" fontId="0" fillId="3" borderId="0" xfId="0" applyFill="1" applyBorder="1"/>
    <xf numFmtId="0" fontId="0" fillId="0" borderId="0" xfId="0"/>
    <xf numFmtId="0" fontId="0" fillId="0" borderId="0" xfId="0"/>
    <xf numFmtId="0" fontId="0" fillId="39" borderId="0" xfId="0" applyFill="1" applyBorder="1"/>
    <xf numFmtId="0" fontId="0" fillId="40" borderId="0" xfId="0" applyFill="1" applyBorder="1"/>
    <xf numFmtId="0" fontId="0" fillId="0" borderId="0" xfId="0"/>
    <xf numFmtId="0" fontId="0" fillId="41" borderId="0" xfId="0" applyFill="1" applyBorder="1"/>
    <xf numFmtId="0" fontId="0" fillId="0" borderId="0" xfId="0"/>
    <xf numFmtId="0" fontId="16" fillId="0" borderId="0" xfId="4" applyFont="1" applyFill="1" applyBorder="1" applyAlignment="1" applyProtection="1">
      <alignment horizontal="left" vertical="center"/>
      <protection locked="0"/>
    </xf>
    <xf numFmtId="0" fontId="16" fillId="0" borderId="0" xfId="0" applyFont="1" applyFill="1" applyBorder="1" applyProtection="1">
      <protection locked="0"/>
    </xf>
    <xf numFmtId="0" fontId="16" fillId="0" borderId="0" xfId="0" applyFont="1" applyFill="1" applyBorder="1" applyAlignment="1" applyProtection="1">
      <alignment horizontal="right"/>
      <protection locked="0"/>
    </xf>
    <xf numFmtId="9" fontId="16" fillId="0" borderId="0" xfId="0" applyNumberFormat="1" applyFont="1" applyFill="1" applyBorder="1" applyProtection="1">
      <protection locked="0"/>
    </xf>
    <xf numFmtId="0" fontId="16" fillId="0" borderId="0" xfId="4" applyFont="1" applyFill="1" applyBorder="1" applyAlignment="1" applyProtection="1">
      <alignment vertical="center"/>
      <protection locked="0"/>
    </xf>
    <xf numFmtId="0" fontId="18" fillId="0" borderId="0" xfId="4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17" fillId="0" borderId="0" xfId="0" applyFont="1" applyFill="1" applyBorder="1" applyAlignment="1" applyProtection="1">
      <alignment horizontal="right"/>
      <protection locked="0"/>
    </xf>
    <xf numFmtId="9" fontId="1" fillId="0" borderId="0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right"/>
      <protection locked="0"/>
    </xf>
    <xf numFmtId="0" fontId="1" fillId="0" borderId="0" xfId="0" applyFont="1" applyFill="1" applyBorder="1" applyProtection="1">
      <protection locked="0"/>
    </xf>
    <xf numFmtId="0" fontId="16" fillId="0" borderId="0" xfId="0" applyFont="1" applyFill="1" applyBorder="1" applyAlignment="1">
      <alignment horizontal="left"/>
    </xf>
    <xf numFmtId="164" fontId="11" fillId="0" borderId="0" xfId="4" applyNumberFormat="1" applyFont="1" applyBorder="1" applyAlignment="1" applyProtection="1">
      <alignment horizontal="right" vertical="top" wrapText="1"/>
      <protection locked="0"/>
    </xf>
    <xf numFmtId="3" fontId="11" fillId="0" borderId="0" xfId="4" applyNumberFormat="1" applyFont="1" applyBorder="1" applyAlignment="1" applyProtection="1">
      <alignment horizontal="right" vertical="top" wrapText="1"/>
      <protection locked="0"/>
    </xf>
    <xf numFmtId="167" fontId="9" fillId="0" borderId="0" xfId="3" applyNumberFormat="1" applyFont="1" applyBorder="1" applyAlignment="1" applyProtection="1">
      <alignment horizontal="right" vertical="top" wrapText="1"/>
      <protection locked="0"/>
    </xf>
    <xf numFmtId="167" fontId="0" fillId="0" borderId="0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3" fontId="0" fillId="0" borderId="0" xfId="0" applyNumberFormat="1" applyBorder="1" applyProtection="1">
      <protection locked="0"/>
    </xf>
    <xf numFmtId="9" fontId="0" fillId="0" borderId="0" xfId="0" applyNumberFormat="1" applyBorder="1" applyProtection="1">
      <protection locked="0"/>
    </xf>
    <xf numFmtId="0" fontId="9" fillId="0" borderId="0" xfId="3" applyNumberFormat="1" applyFont="1" applyBorder="1" applyAlignment="1" applyProtection="1">
      <alignment horizontal="center" vertical="top" wrapText="1"/>
      <protection locked="0"/>
    </xf>
    <xf numFmtId="0" fontId="0" fillId="32" borderId="0" xfId="0" applyNumberFormat="1" applyFill="1" applyBorder="1" applyProtection="1">
      <protection locked="0"/>
    </xf>
    <xf numFmtId="0" fontId="0" fillId="31" borderId="0" xfId="0" applyNumberFormat="1" applyFill="1" applyBorder="1" applyProtection="1">
      <protection locked="0"/>
    </xf>
    <xf numFmtId="0" fontId="9" fillId="7" borderId="0" xfId="3" applyNumberFormat="1" applyFont="1" applyFill="1" applyBorder="1" applyAlignment="1" applyProtection="1">
      <alignment horizontal="center" vertical="top" wrapText="1"/>
      <protection locked="0"/>
    </xf>
    <xf numFmtId="0" fontId="9" fillId="2" borderId="0" xfId="3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NumberFormat="1" applyBorder="1" applyProtection="1">
      <protection locked="0"/>
    </xf>
    <xf numFmtId="0" fontId="31" fillId="0" borderId="0" xfId="0" applyFont="1" applyFill="1"/>
    <xf numFmtId="0" fontId="15" fillId="0" borderId="0" xfId="4" applyFont="1" applyFill="1" applyBorder="1" applyAlignment="1">
      <alignment horizontal="left" vertical="top" wrapText="1"/>
    </xf>
    <xf numFmtId="0" fontId="15" fillId="0" borderId="0" xfId="4" applyFont="1" applyFill="1" applyBorder="1" applyAlignment="1" applyProtection="1">
      <alignment horizontal="left" vertical="top" wrapText="1"/>
      <protection locked="0"/>
    </xf>
    <xf numFmtId="0" fontId="15" fillId="0" borderId="0" xfId="4" applyFont="1" applyFill="1" applyBorder="1" applyAlignment="1" applyProtection="1">
      <alignment horizontal="center" vertical="top" wrapText="1"/>
      <protection locked="0"/>
    </xf>
    <xf numFmtId="166" fontId="15" fillId="0" borderId="0" xfId="4" applyNumberFormat="1" applyFont="1" applyFill="1" applyBorder="1" applyAlignment="1" applyProtection="1">
      <alignment horizontal="center" vertical="top" wrapText="1"/>
      <protection locked="0"/>
    </xf>
    <xf numFmtId="9" fontId="15" fillId="0" borderId="0" xfId="4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/>
    <xf numFmtId="0" fontId="13" fillId="0" borderId="0" xfId="0" applyFont="1" applyFill="1" applyAlignment="1" applyProtection="1">
      <alignment horizontal="left" vertical="center"/>
      <protection locked="0"/>
    </xf>
    <xf numFmtId="0" fontId="0" fillId="0" borderId="0" xfId="0"/>
    <xf numFmtId="0" fontId="19" fillId="6" borderId="0" xfId="4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6" fillId="0" borderId="0" xfId="0" applyFont="1" applyFill="1" applyBorder="1" applyProtection="1"/>
    <xf numFmtId="9" fontId="15" fillId="0" borderId="0" xfId="4" applyNumberFormat="1" applyFont="1" applyFill="1" applyBorder="1" applyAlignment="1" applyProtection="1">
      <alignment horizontal="center" vertical="top" wrapText="1"/>
    </xf>
    <xf numFmtId="0" fontId="9" fillId="0" borderId="0" xfId="3" applyNumberFormat="1" applyFont="1" applyFill="1" applyBorder="1" applyAlignment="1" applyProtection="1">
      <alignment horizontal="center" vertical="top" wrapText="1"/>
    </xf>
    <xf numFmtId="0" fontId="9" fillId="0" borderId="0" xfId="3" applyNumberFormat="1" applyFont="1" applyBorder="1" applyAlignment="1" applyProtection="1">
      <alignment horizontal="center" vertical="top" wrapText="1"/>
    </xf>
    <xf numFmtId="0" fontId="0" fillId="0" borderId="0" xfId="0" applyNumberFormat="1" applyBorder="1" applyProtection="1"/>
    <xf numFmtId="0" fontId="8" fillId="0" borderId="0" xfId="4" applyFill="1" applyBorder="1" applyProtection="1"/>
    <xf numFmtId="0" fontId="0" fillId="0" borderId="0" xfId="0" applyBorder="1" applyProtection="1"/>
    <xf numFmtId="0" fontId="8" fillId="0" borderId="0" xfId="4" applyBorder="1" applyProtection="1"/>
    <xf numFmtId="0" fontId="7" fillId="4" borderId="0" xfId="0" applyFont="1" applyFill="1" applyBorder="1"/>
    <xf numFmtId="0" fontId="6" fillId="4" borderId="0" xfId="0" applyFont="1" applyFill="1" applyBorder="1"/>
    <xf numFmtId="49" fontId="0" fillId="0" borderId="0" xfId="0" applyNumberFormat="1" applyBorder="1"/>
    <xf numFmtId="0" fontId="5" fillId="4" borderId="0" xfId="0" applyFont="1" applyFill="1" applyBorder="1" applyAlignment="1">
      <alignment horizontal="left" vertical="center" indent="5"/>
    </xf>
    <xf numFmtId="0" fontId="4" fillId="4" borderId="0" xfId="2" applyFont="1" applyFill="1" applyBorder="1" applyProtection="1">
      <protection locked="0"/>
    </xf>
    <xf numFmtId="0" fontId="26" fillId="4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 indent="5"/>
    </xf>
    <xf numFmtId="0" fontId="4" fillId="2" borderId="0" xfId="2" applyFont="1" applyFill="1" applyBorder="1" applyProtection="1">
      <protection locked="0"/>
    </xf>
    <xf numFmtId="0" fontId="29" fillId="0" borderId="0" xfId="0" applyFont="1" applyBorder="1"/>
    <xf numFmtId="0" fontId="27" fillId="4" borderId="0" xfId="0" applyFont="1" applyFill="1" applyBorder="1"/>
    <xf numFmtId="0" fontId="3" fillId="4" borderId="0" xfId="2" applyFill="1" applyBorder="1" applyAlignment="1">
      <alignment horizontal="center"/>
    </xf>
    <xf numFmtId="0" fontId="24" fillId="0" borderId="0" xfId="0" applyFont="1" applyBorder="1"/>
    <xf numFmtId="0" fontId="0" fillId="0" borderId="0" xfId="0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49" borderId="0" xfId="0" applyFill="1" applyBorder="1"/>
    <xf numFmtId="0" fontId="0" fillId="50" borderId="0" xfId="0" applyFill="1" applyBorder="1"/>
    <xf numFmtId="0" fontId="0" fillId="51" borderId="0" xfId="0" applyFill="1" applyBorder="1"/>
    <xf numFmtId="0" fontId="11" fillId="0" borderId="0" xfId="4" applyFont="1" applyBorder="1" applyAlignment="1">
      <alignment horizontal="left" vertical="top"/>
    </xf>
    <xf numFmtId="0" fontId="11" fillId="0" borderId="0" xfId="4" applyFont="1" applyBorder="1" applyAlignment="1">
      <alignment vertical="top" wrapText="1"/>
    </xf>
    <xf numFmtId="0" fontId="11" fillId="0" borderId="0" xfId="4" applyFont="1" applyBorder="1" applyAlignment="1">
      <alignment vertical="top"/>
    </xf>
    <xf numFmtId="166" fontId="11" fillId="0" borderId="0" xfId="4" applyNumberFormat="1" applyFont="1" applyBorder="1" applyAlignment="1">
      <alignment vertical="top"/>
    </xf>
    <xf numFmtId="166" fontId="11" fillId="0" borderId="0" xfId="4" applyNumberFormat="1" applyFont="1" applyBorder="1" applyAlignment="1">
      <alignment horizontal="right" vertical="top"/>
    </xf>
    <xf numFmtId="0" fontId="11" fillId="0" borderId="0" xfId="4" applyFont="1" applyBorder="1" applyAlignment="1">
      <alignment horizontal="right" vertical="top"/>
    </xf>
    <xf numFmtId="9" fontId="9" fillId="0" borderId="0" xfId="4" applyNumberFormat="1" applyFont="1" applyBorder="1" applyAlignment="1">
      <alignment horizontal="center" vertical="top"/>
    </xf>
    <xf numFmtId="0" fontId="9" fillId="0" borderId="0" xfId="4" applyFont="1" applyBorder="1" applyAlignment="1">
      <alignment horizontal="right" vertical="top"/>
    </xf>
    <xf numFmtId="0" fontId="9" fillId="0" borderId="0" xfId="4" applyFont="1" applyBorder="1" applyAlignment="1">
      <alignment horizontal="center" vertical="top"/>
    </xf>
    <xf numFmtId="0" fontId="9" fillId="0" borderId="0" xfId="4" applyFont="1" applyBorder="1" applyAlignment="1" applyProtection="1">
      <alignment horizontal="center" vertical="top"/>
      <protection locked="0"/>
    </xf>
    <xf numFmtId="0" fontId="9" fillId="0" borderId="0" xfId="4" applyFont="1" applyBorder="1" applyAlignment="1" applyProtection="1">
      <alignment horizontal="center" vertical="top"/>
    </xf>
    <xf numFmtId="0" fontId="11" fillId="0" borderId="0" xfId="4" applyFont="1" applyBorder="1"/>
    <xf numFmtId="0" fontId="11" fillId="0" borderId="0" xfId="4" applyFont="1" applyBorder="1" applyAlignment="1" applyProtection="1">
      <alignment horizontal="right" vertical="top"/>
    </xf>
    <xf numFmtId="9" fontId="11" fillId="0" borderId="0" xfId="4" applyNumberFormat="1" applyFont="1" applyBorder="1" applyAlignment="1">
      <alignment horizontal="center" vertical="top"/>
    </xf>
    <xf numFmtId="0" fontId="11" fillId="0" borderId="0" xfId="4" applyFont="1" applyBorder="1" applyAlignment="1">
      <alignment horizontal="center" vertical="top"/>
    </xf>
    <xf numFmtId="0" fontId="11" fillId="0" borderId="0" xfId="4" applyFont="1" applyBorder="1" applyAlignment="1" applyProtection="1">
      <alignment horizontal="center" vertical="top"/>
      <protection locked="0"/>
    </xf>
    <xf numFmtId="0" fontId="11" fillId="0" borderId="0" xfId="4" applyFont="1" applyBorder="1" applyAlignment="1" applyProtection="1">
      <alignment horizontal="center" vertical="top"/>
    </xf>
    <xf numFmtId="0" fontId="0" fillId="0" borderId="0" xfId="0" applyBorder="1"/>
    <xf numFmtId="0" fontId="11" fillId="0" borderId="0" xfId="4" applyFont="1" applyBorder="1" applyAlignment="1" applyProtection="1">
      <alignment horizontal="left" vertical="center" wrapText="1"/>
      <protection locked="0"/>
    </xf>
    <xf numFmtId="0" fontId="11" fillId="0" borderId="0" xfId="4" applyFont="1" applyBorder="1" applyAlignment="1" applyProtection="1">
      <alignment vertical="center" wrapText="1"/>
      <protection locked="0"/>
    </xf>
    <xf numFmtId="167" fontId="11" fillId="0" borderId="0" xfId="4" applyNumberFormat="1" applyFont="1" applyBorder="1" applyAlignment="1" applyProtection="1">
      <alignment vertical="center" wrapText="1"/>
      <protection locked="0"/>
    </xf>
    <xf numFmtId="164" fontId="11" fillId="0" borderId="0" xfId="4" applyNumberFormat="1" applyFont="1" applyBorder="1" applyAlignment="1" applyProtection="1">
      <alignment vertical="center" wrapText="1"/>
      <protection locked="0"/>
    </xf>
    <xf numFmtId="164" fontId="11" fillId="0" borderId="0" xfId="4" applyNumberFormat="1" applyFont="1" applyBorder="1" applyAlignment="1" applyProtection="1">
      <alignment horizontal="right" vertical="center" wrapText="1"/>
      <protection locked="0"/>
    </xf>
    <xf numFmtId="3" fontId="11" fillId="0" borderId="0" xfId="4" applyNumberFormat="1" applyFont="1" applyBorder="1" applyAlignment="1" applyProtection="1">
      <alignment horizontal="right" vertical="center" wrapText="1"/>
      <protection locked="0"/>
    </xf>
    <xf numFmtId="9" fontId="9" fillId="0" borderId="0" xfId="3" applyNumberFormat="1" applyFont="1" applyBorder="1" applyAlignment="1" applyProtection="1">
      <alignment horizontal="center" vertical="center" wrapText="1"/>
      <protection locked="0"/>
    </xf>
    <xf numFmtId="0" fontId="14" fillId="0" borderId="0" xfId="4" applyFont="1" applyBorder="1" applyAlignment="1" applyProtection="1">
      <alignment horizontal="left" vertical="center" wrapText="1"/>
      <protection locked="0"/>
    </xf>
    <xf numFmtId="0" fontId="0" fillId="0" borderId="0" xfId="0" applyBorder="1"/>
    <xf numFmtId="0" fontId="0" fillId="0" borderId="0" xfId="0"/>
    <xf numFmtId="0" fontId="19" fillId="52" borderId="0" xfId="4" applyFont="1" applyFill="1" applyBorder="1" applyAlignment="1" applyProtection="1">
      <alignment vertical="center"/>
    </xf>
    <xf numFmtId="0" fontId="19" fillId="52" borderId="0" xfId="4" applyFont="1" applyFill="1" applyBorder="1" applyAlignment="1" applyProtection="1">
      <alignment horizontal="left" vertical="center"/>
      <protection locked="0"/>
    </xf>
    <xf numFmtId="0" fontId="19" fillId="52" borderId="0" xfId="4" applyFont="1" applyFill="1" applyBorder="1" applyAlignment="1" applyProtection="1">
      <alignment vertical="center"/>
      <protection locked="0"/>
    </xf>
    <xf numFmtId="0" fontId="19" fillId="52" borderId="0" xfId="4" applyFont="1" applyFill="1" applyBorder="1" applyAlignment="1" applyProtection="1">
      <alignment horizontal="right" vertical="center"/>
      <protection locked="0"/>
    </xf>
    <xf numFmtId="9" fontId="19" fillId="52" borderId="0" xfId="4" applyNumberFormat="1" applyFont="1" applyFill="1" applyBorder="1" applyAlignment="1" applyProtection="1">
      <alignment vertical="center"/>
      <protection locked="0"/>
    </xf>
    <xf numFmtId="0" fontId="33" fillId="8" borderId="0" xfId="0" applyFont="1" applyFill="1" applyBorder="1" applyAlignment="1">
      <alignment horizontal="left" vertical="center"/>
    </xf>
    <xf numFmtId="0" fontId="33" fillId="30" borderId="0" xfId="0" applyFont="1" applyFill="1" applyBorder="1" applyAlignment="1">
      <alignment horizontal="left" vertical="center"/>
    </xf>
    <xf numFmtId="166" fontId="11" fillId="0" borderId="0" xfId="4" applyNumberFormat="1" applyFont="1" applyBorder="1" applyAlignment="1" applyProtection="1">
      <alignment horizontal="right" vertical="center" wrapText="1"/>
      <protection locked="0"/>
    </xf>
    <xf numFmtId="166" fontId="0" fillId="0" borderId="0" xfId="0" applyNumberFormat="1" applyBorder="1" applyProtection="1">
      <protection locked="0"/>
    </xf>
    <xf numFmtId="166" fontId="11" fillId="0" borderId="0" xfId="4" applyNumberFormat="1" applyFont="1" applyBorder="1" applyAlignment="1" applyProtection="1">
      <alignment vertical="center" wrapText="1"/>
      <protection locked="0"/>
    </xf>
    <xf numFmtId="166" fontId="11" fillId="0" borderId="0" xfId="4" applyNumberFormat="1" applyFont="1" applyBorder="1" applyAlignment="1" applyProtection="1">
      <alignment horizontal="right" vertical="top" wrapText="1"/>
      <protection locked="0"/>
    </xf>
    <xf numFmtId="0" fontId="21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5" fillId="4" borderId="0" xfId="2" applyFont="1" applyFill="1" applyBorder="1" applyAlignment="1">
      <alignment horizontal="center" vertical="center"/>
    </xf>
    <xf numFmtId="0" fontId="5" fillId="36" borderId="0" xfId="2" applyFont="1" applyFill="1" applyBorder="1" applyAlignment="1">
      <alignment horizontal="center" vertical="center"/>
    </xf>
    <xf numFmtId="0" fontId="5" fillId="42" borderId="0" xfId="2" applyFont="1" applyFill="1" applyBorder="1" applyAlignment="1">
      <alignment horizontal="center" vertical="center"/>
    </xf>
    <xf numFmtId="0" fontId="3" fillId="0" borderId="0" xfId="2"/>
    <xf numFmtId="0" fontId="0" fillId="0" borderId="0" xfId="0"/>
    <xf numFmtId="0" fontId="32" fillId="52" borderId="0" xfId="0" applyFont="1" applyFill="1" applyBorder="1"/>
    <xf numFmtId="0" fontId="18" fillId="0" borderId="0" xfId="0" applyFont="1" applyFill="1" applyBorder="1" applyAlignment="1">
      <alignment horizontal="left"/>
    </xf>
    <xf numFmtId="0" fontId="33" fillId="33" borderId="0" xfId="0" applyFont="1" applyFill="1" applyBorder="1" applyAlignment="1">
      <alignment horizontal="center" vertical="center"/>
    </xf>
    <xf numFmtId="0" fontId="8" fillId="30" borderId="0" xfId="4" applyFill="1" applyBorder="1" applyProtection="1">
      <protection locked="0"/>
    </xf>
    <xf numFmtId="0" fontId="15" fillId="30" borderId="0" xfId="4" applyFont="1" applyFill="1" applyBorder="1" applyAlignment="1" applyProtection="1">
      <alignment horizontal="left" vertical="top" wrapText="1"/>
      <protection locked="0"/>
    </xf>
    <xf numFmtId="0" fontId="15" fillId="30" borderId="0" xfId="4" applyFont="1" applyFill="1" applyBorder="1" applyAlignment="1" applyProtection="1">
      <alignment horizontal="center" vertical="top" wrapText="1"/>
      <protection locked="0"/>
    </xf>
    <xf numFmtId="166" fontId="15" fillId="30" borderId="0" xfId="4" applyNumberFormat="1" applyFont="1" applyFill="1" applyBorder="1" applyAlignment="1" applyProtection="1">
      <alignment horizontal="center" vertical="top" wrapText="1"/>
      <protection locked="0"/>
    </xf>
    <xf numFmtId="9" fontId="15" fillId="30" borderId="0" xfId="4" applyNumberFormat="1" applyFont="1" applyFill="1" applyBorder="1" applyAlignment="1" applyProtection="1">
      <alignment horizontal="center" vertical="top" wrapText="1"/>
      <protection locked="0"/>
    </xf>
    <xf numFmtId="9" fontId="15" fillId="30" borderId="0" xfId="4" applyNumberFormat="1" applyFont="1" applyFill="1" applyBorder="1" applyAlignment="1" applyProtection="1">
      <alignment horizontal="center" vertical="top" wrapText="1"/>
    </xf>
    <xf numFmtId="0" fontId="33" fillId="30" borderId="0" xfId="0" applyFont="1" applyFill="1" applyBorder="1" applyAlignment="1">
      <alignment horizontal="center" vertical="center"/>
    </xf>
    <xf numFmtId="0" fontId="33" fillId="47" borderId="0" xfId="0" applyFont="1" applyFill="1" applyBorder="1" applyAlignment="1">
      <alignment horizontal="center" vertical="center"/>
    </xf>
    <xf numFmtId="0" fontId="0" fillId="38" borderId="0" xfId="0" applyFill="1" applyBorder="1" applyProtection="1"/>
    <xf numFmtId="0" fontId="34" fillId="0" borderId="0" xfId="0" applyFont="1" applyBorder="1" applyAlignment="1" applyProtection="1">
      <alignment horizontal="center" vertical="center"/>
    </xf>
    <xf numFmtId="0" fontId="35" fillId="49" borderId="0" xfId="4" applyFont="1" applyFill="1" applyBorder="1" applyAlignment="1" applyProtection="1">
      <alignment horizontal="center" vertical="center" wrapText="1"/>
      <protection locked="0"/>
    </xf>
    <xf numFmtId="0" fontId="36" fillId="0" borderId="0" xfId="4" applyFont="1" applyBorder="1" applyAlignment="1" applyProtection="1">
      <alignment horizontal="center" vertical="center" wrapText="1"/>
      <protection locked="0"/>
    </xf>
    <xf numFmtId="167" fontId="11" fillId="0" borderId="0" xfId="4" applyNumberFormat="1" applyFont="1" applyBorder="1" applyAlignment="1" applyProtection="1">
      <alignment horizontal="right" vertical="center" wrapText="1"/>
      <protection locked="0"/>
    </xf>
    <xf numFmtId="167" fontId="9" fillId="0" borderId="0" xfId="3" applyNumberFormat="1" applyFont="1" applyBorder="1" applyAlignment="1" applyProtection="1">
      <alignment horizontal="right" vertical="center" wrapText="1"/>
      <protection locked="0"/>
    </xf>
    <xf numFmtId="0" fontId="9" fillId="0" borderId="0" xfId="3" applyNumberFormat="1" applyFont="1" applyBorder="1" applyAlignment="1" applyProtection="1">
      <alignment horizontal="center" vertical="center" wrapText="1"/>
      <protection locked="0"/>
    </xf>
    <xf numFmtId="0" fontId="0" fillId="32" borderId="0" xfId="0" applyNumberFormat="1" applyFill="1" applyBorder="1" applyAlignment="1" applyProtection="1">
      <alignment vertical="center"/>
      <protection locked="0"/>
    </xf>
    <xf numFmtId="0" fontId="0" fillId="31" borderId="0" xfId="0" applyNumberFormat="1" applyFill="1" applyBorder="1" applyAlignment="1" applyProtection="1">
      <alignment vertical="center"/>
      <protection locked="0"/>
    </xf>
    <xf numFmtId="0" fontId="9" fillId="7" borderId="0" xfId="3" applyNumberFormat="1" applyFont="1" applyFill="1" applyBorder="1" applyAlignment="1" applyProtection="1">
      <alignment horizontal="center" vertical="center" wrapText="1"/>
      <protection locked="0"/>
    </xf>
    <xf numFmtId="0" fontId="9" fillId="2" borderId="0" xfId="3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3" applyNumberFormat="1" applyFont="1" applyFill="1" applyBorder="1" applyAlignment="1" applyProtection="1">
      <alignment horizontal="center" vertical="center" wrapText="1"/>
    </xf>
    <xf numFmtId="0" fontId="0" fillId="0" borderId="0" xfId="0" applyFill="1" applyBorder="1"/>
  </cellXfs>
  <cellStyles count="201">
    <cellStyle name="Gevolgde hyperlink" xfId="5" builtinId="9" hidden="1"/>
    <cellStyle name="Gevolgde hyperlink" xfId="6" builtinId="9" hidden="1"/>
    <cellStyle name="Gevolgde hyperlink" xfId="7" builtinId="9" hidden="1"/>
    <cellStyle name="Gevolgde hyperlink" xfId="8" builtinId="9" hidden="1"/>
    <cellStyle name="Gevolgde hyperlink" xfId="9" builtinId="9" hidden="1"/>
    <cellStyle name="Gevolgde hyperlink" xfId="10" builtinId="9" hidden="1"/>
    <cellStyle name="Gevolgde hyperlink" xfId="11" builtinId="9" hidden="1"/>
    <cellStyle name="Gevolgde hyperlink" xfId="12" builtinId="9" hidden="1"/>
    <cellStyle name="Gevolgde hyperlink" xfId="13" builtinId="9" hidden="1"/>
    <cellStyle name="Gevolgde hyperlink" xfId="14" builtinId="9" hidden="1"/>
    <cellStyle name="Gevolgde hyperlink" xfId="15" builtinId="9" hidden="1"/>
    <cellStyle name="Gevolgde hyperlink" xfId="16" builtinId="9" hidden="1"/>
    <cellStyle name="Gevolgde hyperlink" xfId="17" builtinId="9" hidden="1"/>
    <cellStyle name="Gevolgde hyperlink" xfId="18" builtinId="9" hidden="1"/>
    <cellStyle name="Gevolgde hyperlink" xfId="19" builtinId="9" hidden="1"/>
    <cellStyle name="Gevolgde hyperlink" xfId="20" builtinId="9" hidden="1"/>
    <cellStyle name="Gevolgde hyperlink" xfId="21" builtinId="9" hidden="1"/>
    <cellStyle name="Gevolgde hyperlink" xfId="22" builtinId="9" hidden="1"/>
    <cellStyle name="Gevolgde hyperlink" xfId="23" builtinId="9" hidden="1"/>
    <cellStyle name="Gevolgde hyperlink" xfId="24" builtinId="9" hidden="1"/>
    <cellStyle name="Gevolgde hyperlink" xfId="25" builtinId="9" hidden="1"/>
    <cellStyle name="Gevolgde hyperlink" xfId="26" builtinId="9" hidden="1"/>
    <cellStyle name="Gevolgde hyperlink" xfId="27" builtinId="9" hidden="1"/>
    <cellStyle name="Gevolgde hyperlink" xfId="28" builtinId="9" hidden="1"/>
    <cellStyle name="Gevolgde hyperlink" xfId="29" builtinId="9" hidden="1"/>
    <cellStyle name="Gevolgde hyperlink" xfId="30" builtinId="9" hidden="1"/>
    <cellStyle name="Gevolgde hyperlink" xfId="31" builtinId="9" hidden="1"/>
    <cellStyle name="Gevolgde hyperlink" xfId="32" builtinId="9" hidden="1"/>
    <cellStyle name="Gevolgde hyperlink" xfId="33" builtinId="9" hidden="1"/>
    <cellStyle name="Gevolgde hyperlink" xfId="34" builtinId="9" hidden="1"/>
    <cellStyle name="Gevolgde hyperlink" xfId="35" builtinId="9" hidden="1"/>
    <cellStyle name="Gevolgde hyperlink" xfId="36" builtinId="9" hidden="1"/>
    <cellStyle name="Gevolgde hyperlink" xfId="37" builtinId="9" hidden="1"/>
    <cellStyle name="Gevolgde hyperlink" xfId="38" builtinId="9" hidden="1"/>
    <cellStyle name="Gevolgde hyperlink" xfId="39" builtinId="9" hidden="1"/>
    <cellStyle name="Gevolgde hyperlink" xfId="40" builtinId="9" hidden="1"/>
    <cellStyle name="Gevolgde hyperlink" xfId="41" builtinId="9" hidden="1"/>
    <cellStyle name="Gevolgde hyperlink" xfId="42" builtinId="9" hidden="1"/>
    <cellStyle name="Gevolgde hyperlink" xfId="43" builtinId="9" hidden="1"/>
    <cellStyle name="Gevolgde hyperlink" xfId="44" builtinId="9" hidden="1"/>
    <cellStyle name="Gevolgde hyperlink" xfId="45" builtinId="9" hidden="1"/>
    <cellStyle name="Gevolgde hyperlink" xfId="46" builtinId="9" hidden="1"/>
    <cellStyle name="Gevolgde hyperlink" xfId="47" builtinId="9" hidden="1"/>
    <cellStyle name="Gevolgde hyperlink" xfId="48" builtinId="9" hidden="1"/>
    <cellStyle name="Gevolgde hyperlink" xfId="49" builtinId="9" hidden="1"/>
    <cellStyle name="Gevolgde hyperlink" xfId="50" builtinId="9" hidden="1"/>
    <cellStyle name="Gevolgde hyperlink" xfId="51" builtinId="9" hidden="1"/>
    <cellStyle name="Gevolgde hyperlink" xfId="52" builtinId="9" hidden="1"/>
    <cellStyle name="Gevolgde hyperlink" xfId="53" builtinId="9" hidden="1"/>
    <cellStyle name="Gevolgde hyperlink" xfId="54" builtinId="9" hidden="1"/>
    <cellStyle name="Gevolgde hyperlink" xfId="55" builtinId="9" hidden="1"/>
    <cellStyle name="Gevolgde hyperlink" xfId="56" builtinId="9" hidden="1"/>
    <cellStyle name="Gevolgde hyperlink" xfId="57" builtinId="9" hidden="1"/>
    <cellStyle name="Gevolgde hyperlink" xfId="58" builtinId="9" hidden="1"/>
    <cellStyle name="Gevolgde hyperlink" xfId="59" builtinId="9" hidden="1"/>
    <cellStyle name="Gevolgde hyperlink" xfId="60" builtinId="9" hidden="1"/>
    <cellStyle name="Gevolgde hyperlink" xfId="61" builtinId="9" hidden="1"/>
    <cellStyle name="Gevolgde hyperlink" xfId="62" builtinId="9" hidden="1"/>
    <cellStyle name="Gevolgde hyperlink" xfId="63" builtinId="9" hidden="1"/>
    <cellStyle name="Gevolgde hyperlink" xfId="64" builtinId="9" hidden="1"/>
    <cellStyle name="Gevolgde hyperlink" xfId="65" builtinId="9" hidden="1"/>
    <cellStyle name="Gevolgde hyperlink" xfId="66" builtinId="9" hidden="1"/>
    <cellStyle name="Gevolgde hyperlink" xfId="67" builtinId="9" hidden="1"/>
    <cellStyle name="Gevolgde hyperlink" xfId="68" builtinId="9" hidden="1"/>
    <cellStyle name="Gevolgde hyperlink" xfId="69" builtinId="9" hidden="1"/>
    <cellStyle name="Gevolgde hyperlink" xfId="70" builtinId="9" hidden="1"/>
    <cellStyle name="Gevolgde hyperlink" xfId="71" builtinId="9" hidden="1"/>
    <cellStyle name="Gevolgde hyperlink" xfId="72" builtinId="9" hidden="1"/>
    <cellStyle name="Gevolgde hyperlink" xfId="73" builtinId="9" hidden="1"/>
    <cellStyle name="Gevolgde hyperlink" xfId="74" builtinId="9" hidden="1"/>
    <cellStyle name="Gevolgde hyperlink" xfId="75" builtinId="9" hidden="1"/>
    <cellStyle name="Gevolgde hyperlink" xfId="76" builtinId="9" hidden="1"/>
    <cellStyle name="Gevolgde hyperlink" xfId="77" builtinId="9" hidden="1"/>
    <cellStyle name="Gevolgde hyperlink" xfId="78" builtinId="9" hidden="1"/>
    <cellStyle name="Gevolgde hyperlink" xfId="79" builtinId="9" hidden="1"/>
    <cellStyle name="Gevolgde hyperlink" xfId="80" builtinId="9" hidden="1"/>
    <cellStyle name="Gevolgde hyperlink" xfId="81" builtinId="9" hidden="1"/>
    <cellStyle name="Gevolgde hyperlink" xfId="82" builtinId="9" hidden="1"/>
    <cellStyle name="Gevolgde hyperlink" xfId="83" builtinId="9" hidden="1"/>
    <cellStyle name="Gevolgde hyperlink" xfId="84" builtinId="9" hidden="1"/>
    <cellStyle name="Gevolgde hyperlink" xfId="85" builtinId="9" hidden="1"/>
    <cellStyle name="Gevolgde hyperlink" xfId="86" builtinId="9" hidden="1"/>
    <cellStyle name="Gevolgde hyperlink" xfId="87" builtinId="9" hidden="1"/>
    <cellStyle name="Gevolgde hyperlink" xfId="88" builtinId="9" hidden="1"/>
    <cellStyle name="Gevolgde hyperlink" xfId="89" builtinId="9" hidden="1"/>
    <cellStyle name="Gevolgde hyperlink" xfId="90" builtinId="9" hidden="1"/>
    <cellStyle name="Gevolgde hyperlink" xfId="91" builtinId="9" hidden="1"/>
    <cellStyle name="Gevolgde hyperlink" xfId="92" builtinId="9" hidden="1"/>
    <cellStyle name="Gevolgde hyperlink" xfId="93" builtinId="9" hidden="1"/>
    <cellStyle name="Gevolgde hyperlink" xfId="94" builtinId="9" hidden="1"/>
    <cellStyle name="Gevolgde hyperlink" xfId="95" builtinId="9" hidden="1"/>
    <cellStyle name="Gevolgde hyperlink" xfId="96" builtinId="9" hidden="1"/>
    <cellStyle name="Gevolgde hyperlink" xfId="97" builtinId="9" hidden="1"/>
    <cellStyle name="Gevolgde hyperlink" xfId="98" builtinId="9" hidden="1"/>
    <cellStyle name="Gevolgde hyperlink" xfId="99" builtinId="9" hidden="1"/>
    <cellStyle name="Gevolgde hyperlink" xfId="100" builtinId="9" hidden="1"/>
    <cellStyle name="Gevolgde hyperlink" xfId="101" builtinId="9" hidden="1"/>
    <cellStyle name="Gevolgde hyperlink" xfId="102" builtinId="9" hidden="1"/>
    <cellStyle name="Gevolgde hyperlink" xfId="103" builtinId="9" hidden="1"/>
    <cellStyle name="Gevolgde hyperlink" xfId="104" builtinId="9" hidden="1"/>
    <cellStyle name="Gevolgde hyperlink" xfId="105" builtinId="9" hidden="1"/>
    <cellStyle name="Gevolgde hyperlink" xfId="106" builtinId="9" hidden="1"/>
    <cellStyle name="Gevolgde hyperlink" xfId="107" builtinId="9" hidden="1"/>
    <cellStyle name="Gevolgde hyperlink" xfId="108" builtinId="9" hidden="1"/>
    <cellStyle name="Gevolgde hyperlink" xfId="109" builtinId="9" hidden="1"/>
    <cellStyle name="Gevolgde hyperlink" xfId="110" builtinId="9" hidden="1"/>
    <cellStyle name="Gevolgde hyperlink" xfId="111" builtinId="9" hidden="1"/>
    <cellStyle name="Gevolgde hyperlink" xfId="112" builtinId="9" hidden="1"/>
    <cellStyle name="Gevolgde hyperlink" xfId="113" builtinId="9" hidden="1"/>
    <cellStyle name="Gevolgde hyperlink" xfId="114" builtinId="9" hidden="1"/>
    <cellStyle name="Gevolgde hyperlink" xfId="115" builtinId="9" hidden="1"/>
    <cellStyle name="Gevolgde hyperlink" xfId="116" builtinId="9" hidden="1"/>
    <cellStyle name="Gevolgde hyperlink" xfId="117" builtinId="9" hidden="1"/>
    <cellStyle name="Gevolgde hyperlink" xfId="118" builtinId="9" hidden="1"/>
    <cellStyle name="Gevolgde hyperlink" xfId="119" builtinId="9" hidden="1"/>
    <cellStyle name="Gevolgde hyperlink" xfId="120" builtinId="9" hidden="1"/>
    <cellStyle name="Gevolgde hyperlink" xfId="121" builtinId="9" hidden="1"/>
    <cellStyle name="Gevolgde hyperlink" xfId="122" builtinId="9" hidden="1"/>
    <cellStyle name="Gevolgde hyperlink" xfId="123" builtinId="9" hidden="1"/>
    <cellStyle name="Gevolgde hyperlink" xfId="124" builtinId="9" hidden="1"/>
    <cellStyle name="Gevolgde hyperlink" xfId="125" builtinId="9" hidden="1"/>
    <cellStyle name="Gevolgde hyperlink" xfId="126" builtinId="9" hidden="1"/>
    <cellStyle name="Gevolgde hyperlink" xfId="127" builtinId="9" hidden="1"/>
    <cellStyle name="Gevolgde hyperlink" xfId="128" builtinId="9" hidden="1"/>
    <cellStyle name="Gevolgde hyperlink" xfId="129" builtinId="9" hidden="1"/>
    <cellStyle name="Gevolgde hyperlink" xfId="130" builtinId="9" hidden="1"/>
    <cellStyle name="Gevolgde hyperlink" xfId="131" builtinId="9" hidden="1"/>
    <cellStyle name="Gevolgde hyperlink" xfId="132" builtinId="9" hidden="1"/>
    <cellStyle name="Gevolgde hyperlink" xfId="133" builtinId="9" hidden="1"/>
    <cellStyle name="Gevolgde hyperlink" xfId="134" builtinId="9" hidden="1"/>
    <cellStyle name="Gevolgde hyperlink" xfId="135" builtinId="9" hidden="1"/>
    <cellStyle name="Gevolgde hyperlink" xfId="136" builtinId="9" hidden="1"/>
    <cellStyle name="Gevolgde hyperlink" xfId="137" builtinId="9" hidden="1"/>
    <cellStyle name="Gevolgde hyperlink" xfId="138" builtinId="9" hidden="1"/>
    <cellStyle name="Gevolgde hyperlink" xfId="139" builtinId="9" hidden="1"/>
    <cellStyle name="Gevolgde hyperlink" xfId="140" builtinId="9" hidden="1"/>
    <cellStyle name="Gevolgde hyperlink" xfId="141" builtinId="9" hidden="1"/>
    <cellStyle name="Gevolgde hyperlink" xfId="142" builtinId="9" hidden="1"/>
    <cellStyle name="Gevolgde hyperlink" xfId="143" builtinId="9" hidden="1"/>
    <cellStyle name="Gevolgde hyperlink" xfId="144" builtinId="9" hidden="1"/>
    <cellStyle name="Gevolgde hyperlink" xfId="145" builtinId="9" hidden="1"/>
    <cellStyle name="Gevolgde hyperlink" xfId="146" builtinId="9" hidden="1"/>
    <cellStyle name="Gevolgde hyperlink" xfId="147" builtinId="9" hidden="1"/>
    <cellStyle name="Gevolgde hyperlink" xfId="148" builtinId="9" hidden="1"/>
    <cellStyle name="Gevolgde hyperlink" xfId="149" builtinId="9" hidden="1"/>
    <cellStyle name="Gevolgde hyperlink" xfId="150" builtinId="9" hidden="1"/>
    <cellStyle name="Gevolgde hyperlink" xfId="151" builtinId="9" hidden="1"/>
    <cellStyle name="Gevolgde hyperlink" xfId="152" builtinId="9" hidden="1"/>
    <cellStyle name="Gevolgde hyperlink" xfId="153" builtinId="9" hidden="1"/>
    <cellStyle name="Gevolgde hyperlink" xfId="154" builtinId="9" hidden="1"/>
    <cellStyle name="Gevolgde hyperlink" xfId="155" builtinId="9" hidden="1"/>
    <cellStyle name="Gevolgde hyperlink" xfId="156" builtinId="9" hidden="1"/>
    <cellStyle name="Gevolgde hyperlink" xfId="157" builtinId="9" hidden="1"/>
    <cellStyle name="Gevolgde hyperlink" xfId="158" builtinId="9" hidden="1"/>
    <cellStyle name="Gevolgde hyperlink" xfId="159" builtinId="9" hidden="1"/>
    <cellStyle name="Gevolgde hyperlink" xfId="160" builtinId="9" hidden="1"/>
    <cellStyle name="Gevolgde hyperlink" xfId="161" builtinId="9" hidden="1"/>
    <cellStyle name="Gevolgde hyperlink" xfId="162" builtinId="9" hidden="1"/>
    <cellStyle name="Gevolgde hyperlink" xfId="163" builtinId="9" hidden="1"/>
    <cellStyle name="Gevolgde hyperlink" xfId="164" builtinId="9" hidden="1"/>
    <cellStyle name="Gevolgde hyperlink" xfId="165" builtinId="9" hidden="1"/>
    <cellStyle name="Gevolgde hyperlink" xfId="166" builtinId="9" hidden="1"/>
    <cellStyle name="Gevolgde hyperlink" xfId="167" builtinId="9" hidden="1"/>
    <cellStyle name="Gevolgde hyperlink" xfId="168" builtinId="9" hidden="1"/>
    <cellStyle name="Gevolgde hyperlink" xfId="169" builtinId="9" hidden="1"/>
    <cellStyle name="Gevolgde hyperlink" xfId="170" builtinId="9" hidden="1"/>
    <cellStyle name="Gevolgde hyperlink" xfId="171" builtinId="9" hidden="1"/>
    <cellStyle name="Gevolgde hyperlink" xfId="172" builtinId="9" hidden="1"/>
    <cellStyle name="Gevolgde hyperlink" xfId="173" builtinId="9" hidden="1"/>
    <cellStyle name="Gevolgde hyperlink" xfId="174" builtinId="9" hidden="1"/>
    <cellStyle name="Gevolgde hyperlink" xfId="175" builtinId="9" hidden="1"/>
    <cellStyle name="Gevolgde hyperlink" xfId="176" builtinId="9" hidden="1"/>
    <cellStyle name="Gevolgde hyperlink" xfId="177" builtinId="9" hidden="1"/>
    <cellStyle name="Gevolgde hyperlink" xfId="178" builtinId="9" hidden="1"/>
    <cellStyle name="Gevolgde hyperlink" xfId="179" builtinId="9" hidden="1"/>
    <cellStyle name="Gevolgde hyperlink" xfId="180" builtinId="9" hidden="1"/>
    <cellStyle name="Gevolgde hyperlink" xfId="181" builtinId="9" hidden="1"/>
    <cellStyle name="Gevolgde hyperlink" xfId="182" builtinId="9" hidden="1"/>
    <cellStyle name="Gevolgde hyperlink" xfId="183" builtinId="9" hidden="1"/>
    <cellStyle name="Gevolgde hyperlink" xfId="184" builtinId="9" hidden="1"/>
    <cellStyle name="Gevolgde hyperlink" xfId="185" builtinId="9" hidden="1"/>
    <cellStyle name="Gevolgde hyperlink" xfId="186" builtinId="9" hidden="1"/>
    <cellStyle name="Gevolgde hyperlink" xfId="187" builtinId="9" hidden="1"/>
    <cellStyle name="Gevolgde hyperlink" xfId="188" builtinId="9" hidden="1"/>
    <cellStyle name="Gevolgde hyperlink" xfId="189" builtinId="9" hidden="1"/>
    <cellStyle name="Gevolgde hyperlink" xfId="190" builtinId="9" hidden="1"/>
    <cellStyle name="Gevolgde hyperlink" xfId="191" builtinId="9" hidden="1"/>
    <cellStyle name="Gevolgde hyperlink" xfId="192" builtinId="9" hidden="1"/>
    <cellStyle name="Gevolgde hyperlink" xfId="193" builtinId="9" hidden="1"/>
    <cellStyle name="Gevolgde hyperlink" xfId="194" builtinId="9" hidden="1"/>
    <cellStyle name="Gevolgde hyperlink" xfId="195" builtinId="9" hidden="1"/>
    <cellStyle name="Gevolgde hyperlink" xfId="196" builtinId="9" hidden="1"/>
    <cellStyle name="Gevolgde hyperlink" xfId="197" builtinId="9" hidden="1"/>
    <cellStyle name="Gevolgde hyperlink" xfId="198" builtinId="9" hidden="1"/>
    <cellStyle name="Gevolgde hyperlink" xfId="199" builtinId="9" hidden="1"/>
    <cellStyle name="Gevolgde hyperlink" xfId="200" builtinId="9" hidden="1"/>
    <cellStyle name="Hyperlink" xfId="2" builtinId="8"/>
    <cellStyle name="Kop 1" xfId="1" builtinId="16"/>
    <cellStyle name="Normal 3" xfId="4" xr:uid="{00000000-0005-0000-0000-0000C7000000}"/>
    <cellStyle name="Percent 2" xfId="3" xr:uid="{00000000-0005-0000-0000-0000C8000000}"/>
    <cellStyle name="Standaard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color rgb="FF9C0006"/>
      </font>
    </dxf>
  </dxfs>
  <tableStyles count="0" defaultTableStyle="TableStyleMedium2" defaultPivotStyle="PivotStyleLight16"/>
  <colors>
    <mruColors>
      <color rgb="FFC1EFFF"/>
      <color rgb="FFB3F8FF"/>
      <color rgb="FF6DD9FF"/>
      <color rgb="FFA7E8FF"/>
      <color rgb="FFA6F020"/>
      <color rgb="FFDCF9A9"/>
      <color rgb="FFF0FFDD"/>
      <color rgb="FFF0F9FE"/>
      <color rgb="FFFFC000"/>
      <color rgb="FFA8E7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LID4096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GanttDashboardTemplate!$D$9:$D$12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GanttDashboardTemplate!$E$9:$E$12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GanttDashboardTemplate!$X$3:$Y$3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ustlogo&amp;utm_medium=custom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#VERW!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#VERW!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#VERW!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#VERW!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#VERW!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144780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23825"/>
          <a:ext cx="1285116" cy="600075"/>
        </a:xfrm>
        <a:prstGeom prst="rect">
          <a:avLst/>
        </a:prstGeom>
      </xdr:spPr>
    </xdr:pic>
    <xdr:clientData/>
  </xdr:oneCellAnchor>
  <xdr:twoCellAnchor editAs="oneCell">
    <xdr:from>
      <xdr:col>3</xdr:col>
      <xdr:colOff>28575</xdr:colOff>
      <xdr:row>12</xdr:row>
      <xdr:rowOff>180975</xdr:rowOff>
    </xdr:from>
    <xdr:to>
      <xdr:col>19</xdr:col>
      <xdr:colOff>9525</xdr:colOff>
      <xdr:row>19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0075" y="2143125"/>
          <a:ext cx="9686925" cy="1200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5</xdr:row>
      <xdr:rowOff>50800</xdr:rowOff>
    </xdr:from>
    <xdr:to>
      <xdr:col>38</xdr:col>
      <xdr:colOff>708025</xdr:colOff>
      <xdr:row>6</xdr:row>
      <xdr:rowOff>0</xdr:rowOff>
    </xdr:to>
    <xdr:sp macro="" textlink="">
      <xdr:nvSpPr>
        <xdr:cNvPr id="2" name="S_Mo_1/27/202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239125" y="50800"/>
          <a:ext cx="3565525" cy="263525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5B9BD5"/>
              </a:solidFill>
            </a:rPr>
            <a:t>January-2020</a:t>
          </a:r>
        </a:p>
      </xdr:txBody>
    </xdr:sp>
    <xdr:clientData/>
  </xdr:twoCellAnchor>
  <xdr:twoCellAnchor>
    <xdr:from>
      <xdr:col>39</xdr:col>
      <xdr:colOff>0</xdr:colOff>
      <xdr:row>5</xdr:row>
      <xdr:rowOff>50800</xdr:rowOff>
    </xdr:from>
    <xdr:to>
      <xdr:col>67</xdr:col>
      <xdr:colOff>708025</xdr:colOff>
      <xdr:row>6</xdr:row>
      <xdr:rowOff>0</xdr:rowOff>
    </xdr:to>
    <xdr:sp macro="" textlink="">
      <xdr:nvSpPr>
        <xdr:cNvPr id="3" name="S_Mo_2/1/20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811000" y="50800"/>
          <a:ext cx="20710525" cy="263525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5B9BD5"/>
              </a:solidFill>
            </a:rPr>
            <a:t>February-2020</a:t>
          </a:r>
        </a:p>
      </xdr:txBody>
    </xdr:sp>
    <xdr:clientData/>
  </xdr:twoCellAnchor>
  <xdr:twoCellAnchor>
    <xdr:from>
      <xdr:col>68</xdr:col>
      <xdr:colOff>0</xdr:colOff>
      <xdr:row>5</xdr:row>
      <xdr:rowOff>50800</xdr:rowOff>
    </xdr:from>
    <xdr:to>
      <xdr:col>98</xdr:col>
      <xdr:colOff>708025</xdr:colOff>
      <xdr:row>6</xdr:row>
      <xdr:rowOff>0</xdr:rowOff>
    </xdr:to>
    <xdr:sp macro="" textlink="">
      <xdr:nvSpPr>
        <xdr:cNvPr id="4" name="S_Mo_3/1/20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527875" y="50800"/>
          <a:ext cx="22139275" cy="263525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5B9BD5"/>
              </a:solidFill>
            </a:rPr>
            <a:t>March-2020</a:t>
          </a:r>
        </a:p>
      </xdr:txBody>
    </xdr:sp>
    <xdr:clientData/>
  </xdr:twoCellAnchor>
  <xdr:twoCellAnchor>
    <xdr:from>
      <xdr:col>37</xdr:col>
      <xdr:colOff>6350</xdr:colOff>
      <xdr:row>9</xdr:row>
      <xdr:rowOff>35624</xdr:rowOff>
    </xdr:from>
    <xdr:to>
      <xdr:col>51</xdr:col>
      <xdr:colOff>0</xdr:colOff>
      <xdr:row>9</xdr:row>
      <xdr:rowOff>173926</xdr:rowOff>
    </xdr:to>
    <xdr:sp macro="" textlink="">
      <xdr:nvSpPr>
        <xdr:cNvPr id="8" name="S_TE_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902700" y="988124"/>
          <a:ext cx="3060700" cy="138302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37</xdr:col>
      <xdr:colOff>1270</xdr:colOff>
      <xdr:row>10</xdr:row>
      <xdr:rowOff>0</xdr:rowOff>
    </xdr:to>
    <xdr:sp macro="" textlink="">
      <xdr:nvSpPr>
        <xdr:cNvPr id="9" name="S_Today_LineLeft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8896350" y="952500"/>
          <a:ext cx="1270" cy="20955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206375</xdr:colOff>
      <xdr:row>9</xdr:row>
      <xdr:rowOff>0</xdr:rowOff>
    </xdr:from>
    <xdr:to>
      <xdr:col>37</xdr:col>
      <xdr:colOff>207645</xdr:colOff>
      <xdr:row>10</xdr:row>
      <xdr:rowOff>0</xdr:rowOff>
    </xdr:to>
    <xdr:sp macro="" textlink="">
      <xdr:nvSpPr>
        <xdr:cNvPr id="10" name="S_Today_LineRigh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9102725" y="952500"/>
          <a:ext cx="1270" cy="20955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H3" totalsRowShown="0" headerRowDxfId="33" dataDxfId="32" tableBorderDxfId="31" headerRowCellStyle="Normal 3" dataCellStyle="Percent 2">
  <autoFilter ref="AD2:BH3" xr:uid="{00000000-0009-0000-0100-000001000000}"/>
  <tableColumns count="31">
    <tableColumn id="1" xr3:uid="{00000000-0010-0000-0000-000001000000}" name="tType" dataDxfId="30"/>
    <tableColumn id="2" xr3:uid="{00000000-0010-0000-0000-000002000000}" name="WBS" dataDxfId="29" dataCellStyle="Normal 3"/>
    <tableColumn id="3" xr3:uid="{00000000-0010-0000-0000-000003000000}" name="Task" dataDxfId="28" dataCellStyle="Normal 3"/>
    <tableColumn id="32" xr3:uid="{F90A5217-3580-4778-8C30-2A2084C092C5}" name="Priority" dataDxfId="27" dataCellStyle="Normal 3"/>
    <tableColumn id="31" xr3:uid="{0FE90040-082A-4721-92AE-85DD33035AC7}" name="Status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ustd&amp;utm_medium=cust" TargetMode="External"/><Relationship Id="rId2" Type="http://schemas.openxmlformats.org/officeDocument/2006/relationships/hyperlink" Target="https://www.ganttexcel.com/documentation/enable-macros/?utm_source=xlcustem&amp;utm_medium=cust" TargetMode="External"/><Relationship Id="rId1" Type="http://schemas.openxmlformats.org/officeDocument/2006/relationships/hyperlink" Target="https://ganttxl.com/documentation/gantt-excel-quick-start-guide/?utm_source=xl&amp;utm_medium=cpc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CT">
    <pageSetUpPr fitToPage="1"/>
  </sheetPr>
  <dimension ref="A1:AY112"/>
  <sheetViews>
    <sheetView showGridLines="0" showRowColHeaders="0" topLeftCell="H6" zoomScaleNormal="100" workbookViewId="0">
      <selection activeCell="K11" sqref="K11"/>
    </sheetView>
  </sheetViews>
  <sheetFormatPr defaultColWidth="9.109375" defaultRowHeight="16.350000000000001" customHeight="1" x14ac:dyDescent="0.3"/>
  <cols>
    <col min="1" max="6" width="5.88671875" style="201" hidden="1" customWidth="1"/>
    <col min="7" max="7" width="5.88671875" style="160" hidden="1" customWidth="1"/>
    <col min="8" max="8" width="2.33203125" style="160" customWidth="1"/>
    <col min="9" max="9" width="3.33203125" style="160" customWidth="1"/>
    <col min="10" max="10" width="4.44140625" style="98" customWidth="1"/>
    <col min="11" max="11" width="40.6640625" style="98" customWidth="1"/>
    <col min="12" max="12" width="9.33203125" style="98" customWidth="1"/>
    <col min="13" max="13" width="11.109375" style="98" hidden="1" customWidth="1"/>
    <col min="14" max="14" width="14.6640625" style="98" customWidth="1"/>
    <col min="15" max="15" width="11.109375" style="133" hidden="1" customWidth="1"/>
    <col min="16" max="17" width="11.109375" style="134" hidden="1" customWidth="1"/>
    <col min="18" max="18" width="11.109375" style="135" hidden="1" customWidth="1"/>
    <col min="19" max="20" width="14.6640625" style="134" customWidth="1"/>
    <col min="21" max="21" width="8.6640625" style="135" customWidth="1"/>
    <col min="22" max="22" width="8.6640625" style="136" customWidth="1"/>
    <col min="23" max="24" width="5.33203125" style="134" hidden="1" customWidth="1"/>
    <col min="25" max="25" width="5.33203125" style="135" hidden="1" customWidth="1"/>
    <col min="26" max="28" width="5.33203125" style="133" hidden="1" customWidth="1"/>
    <col min="29" max="33" width="5.33203125" style="142" hidden="1" customWidth="1"/>
    <col min="34" max="34" width="2" style="158" customWidth="1"/>
    <col min="35" max="40" width="3.33203125" style="201" customWidth="1"/>
    <col min="41" max="41" width="8.88671875" style="201" customWidth="1"/>
    <col min="42" max="990" width="9.109375" style="201" customWidth="1"/>
    <col min="991" max="16384" width="9.109375" style="201"/>
  </cols>
  <sheetData>
    <row r="1" spans="1:51" ht="27" hidden="1" customHeight="1" x14ac:dyDescent="0.3">
      <c r="A1" s="58" t="s">
        <v>17</v>
      </c>
      <c r="B1" s="58" t="s">
        <v>71</v>
      </c>
      <c r="C1" s="201" t="s">
        <v>70</v>
      </c>
      <c r="D1" s="58" t="s">
        <v>69</v>
      </c>
      <c r="E1" s="58" t="s">
        <v>68</v>
      </c>
      <c r="F1" s="58" t="s">
        <v>67</v>
      </c>
      <c r="G1" s="161" t="s">
        <v>237</v>
      </c>
      <c r="H1" s="161" t="s">
        <v>214</v>
      </c>
      <c r="I1" s="161" t="s">
        <v>235</v>
      </c>
      <c r="J1" s="184" t="s">
        <v>44</v>
      </c>
      <c r="K1" s="185" t="s">
        <v>43</v>
      </c>
      <c r="L1" s="185" t="s">
        <v>226</v>
      </c>
      <c r="M1" s="185" t="s">
        <v>227</v>
      </c>
      <c r="N1" s="186" t="s">
        <v>42</v>
      </c>
      <c r="O1" s="186" t="s">
        <v>41</v>
      </c>
      <c r="P1" s="186" t="s">
        <v>40</v>
      </c>
      <c r="Q1" s="187" t="s">
        <v>39</v>
      </c>
      <c r="R1" s="186" t="s">
        <v>38</v>
      </c>
      <c r="S1" s="188" t="s">
        <v>37</v>
      </c>
      <c r="T1" s="188" t="s">
        <v>35</v>
      </c>
      <c r="U1" s="189" t="s">
        <v>33</v>
      </c>
      <c r="V1" s="190" t="s">
        <v>32</v>
      </c>
      <c r="W1" s="187" t="s">
        <v>36</v>
      </c>
      <c r="X1" s="187" t="s">
        <v>34</v>
      </c>
      <c r="Y1" s="186" t="s">
        <v>31</v>
      </c>
      <c r="Z1" s="191" t="s">
        <v>30</v>
      </c>
      <c r="AA1" s="191" t="s">
        <v>29</v>
      </c>
      <c r="AB1" s="191" t="s">
        <v>28</v>
      </c>
      <c r="AC1" s="192" t="s">
        <v>27</v>
      </c>
      <c r="AD1" s="193" t="s">
        <v>113</v>
      </c>
      <c r="AE1" s="193" t="s">
        <v>112</v>
      </c>
      <c r="AF1" s="193" t="s">
        <v>136</v>
      </c>
      <c r="AG1" s="193" t="s">
        <v>137</v>
      </c>
      <c r="AH1" s="194" t="s">
        <v>216</v>
      </c>
      <c r="AI1" s="195" t="s">
        <v>111</v>
      </c>
      <c r="AJ1" s="195"/>
      <c r="AK1" s="195"/>
      <c r="AL1" s="195"/>
      <c r="AM1" s="195"/>
      <c r="AN1" s="195"/>
      <c r="AO1" s="195" t="s">
        <v>110</v>
      </c>
    </row>
    <row r="2" spans="1:51" ht="27" hidden="1" customHeight="1" x14ac:dyDescent="0.3">
      <c r="A2" s="189" t="s">
        <v>76</v>
      </c>
      <c r="B2" s="189" t="s">
        <v>76</v>
      </c>
      <c r="C2" s="189" t="s">
        <v>76</v>
      </c>
      <c r="D2" s="189" t="s">
        <v>76</v>
      </c>
      <c r="E2" s="189" t="s">
        <v>76</v>
      </c>
      <c r="F2" s="189" t="s">
        <v>76</v>
      </c>
      <c r="G2" s="196" t="s">
        <v>76</v>
      </c>
      <c r="H2" s="196"/>
      <c r="I2" s="196" t="s">
        <v>76</v>
      </c>
      <c r="J2" s="184" t="s">
        <v>76</v>
      </c>
      <c r="K2" s="185" t="s">
        <v>76</v>
      </c>
      <c r="L2" s="185" t="s">
        <v>76</v>
      </c>
      <c r="M2" s="185" t="s">
        <v>76</v>
      </c>
      <c r="N2" s="186" t="s">
        <v>76</v>
      </c>
      <c r="O2" s="186" t="s">
        <v>76</v>
      </c>
      <c r="P2" s="186" t="s">
        <v>76</v>
      </c>
      <c r="Q2" s="187" t="s">
        <v>76</v>
      </c>
      <c r="R2" s="186" t="s">
        <v>76</v>
      </c>
      <c r="S2" s="188" t="s">
        <v>76</v>
      </c>
      <c r="T2" s="188" t="s">
        <v>76</v>
      </c>
      <c r="U2" s="189" t="s">
        <v>76</v>
      </c>
      <c r="V2" s="197" t="s">
        <v>76</v>
      </c>
      <c r="W2" s="187" t="s">
        <v>76</v>
      </c>
      <c r="X2" s="187" t="s">
        <v>76</v>
      </c>
      <c r="Y2" s="186" t="s">
        <v>76</v>
      </c>
      <c r="Z2" s="189" t="s">
        <v>76</v>
      </c>
      <c r="AA2" s="189" t="s">
        <v>76</v>
      </c>
      <c r="AB2" s="189" t="s">
        <v>76</v>
      </c>
      <c r="AC2" s="198" t="s">
        <v>76</v>
      </c>
      <c r="AD2" s="199" t="s">
        <v>76</v>
      </c>
      <c r="AE2" s="199" t="s">
        <v>76</v>
      </c>
      <c r="AF2" s="199" t="s">
        <v>76</v>
      </c>
      <c r="AG2" s="199" t="s">
        <v>76</v>
      </c>
      <c r="AH2" s="200" t="s">
        <v>76</v>
      </c>
      <c r="AI2" s="195"/>
      <c r="AJ2" s="195"/>
      <c r="AK2" s="195"/>
      <c r="AL2" s="195"/>
      <c r="AM2" s="195"/>
      <c r="AN2" s="195"/>
      <c r="AO2" s="195"/>
    </row>
    <row r="3" spans="1:51" ht="27" hidden="1" customHeight="1" x14ac:dyDescent="0.3">
      <c r="A3" s="62"/>
      <c r="B3" s="58"/>
      <c r="C3" s="58"/>
      <c r="D3" s="58"/>
      <c r="E3" s="58"/>
      <c r="F3" s="58"/>
      <c r="G3" s="161"/>
      <c r="H3" s="161"/>
      <c r="I3" s="161"/>
      <c r="J3" s="184"/>
      <c r="K3" s="185"/>
      <c r="L3" s="185"/>
      <c r="M3" s="185"/>
      <c r="N3" s="186"/>
      <c r="O3" s="186"/>
      <c r="P3" s="186"/>
      <c r="Q3" s="187"/>
      <c r="R3" s="186"/>
      <c r="S3" s="188"/>
      <c r="T3" s="188"/>
      <c r="U3" s="189"/>
      <c r="V3" s="190"/>
      <c r="W3" s="187"/>
      <c r="X3" s="187"/>
      <c r="Y3" s="186"/>
      <c r="Z3" s="191"/>
      <c r="AA3" s="191"/>
      <c r="AB3" s="191"/>
      <c r="AC3" s="192"/>
      <c r="AD3" s="193"/>
      <c r="AE3" s="193"/>
      <c r="AF3" s="193"/>
      <c r="AG3" s="193"/>
      <c r="AH3" s="194"/>
      <c r="AI3" s="195"/>
      <c r="AJ3" s="195"/>
      <c r="AK3" s="195"/>
      <c r="AL3" s="195"/>
      <c r="AM3" s="195"/>
      <c r="AN3" s="195"/>
      <c r="AO3" s="195"/>
    </row>
    <row r="4" spans="1:51" ht="26.25" hidden="1" customHeight="1" x14ac:dyDescent="0.3">
      <c r="A4" s="58"/>
      <c r="B4" s="58"/>
      <c r="C4" s="58"/>
      <c r="D4" s="58"/>
      <c r="E4" s="58"/>
      <c r="F4" s="58"/>
      <c r="G4" s="161"/>
      <c r="H4" s="161"/>
      <c r="I4" s="161"/>
      <c r="J4" s="184"/>
      <c r="K4" s="185"/>
      <c r="L4" s="185"/>
      <c r="M4" s="185"/>
      <c r="N4" s="201"/>
      <c r="O4" s="201"/>
      <c r="P4" s="201"/>
      <c r="Q4" s="201"/>
      <c r="R4" s="69"/>
      <c r="S4" s="201"/>
      <c r="T4" s="201"/>
      <c r="U4" s="201"/>
      <c r="V4" s="201"/>
      <c r="W4" s="187"/>
      <c r="X4" s="187"/>
      <c r="Y4" s="186"/>
      <c r="Z4" s="191"/>
      <c r="AA4" s="191"/>
      <c r="AB4" s="191"/>
      <c r="AC4" s="192"/>
      <c r="AD4" s="193"/>
      <c r="AE4" s="193"/>
      <c r="AF4" s="193"/>
      <c r="AG4" s="193"/>
      <c r="AH4" s="194"/>
      <c r="AI4" s="195"/>
      <c r="AJ4" s="195"/>
      <c r="AK4" s="195"/>
      <c r="AL4" s="195"/>
      <c r="AM4" s="195"/>
      <c r="AN4" s="195"/>
      <c r="AO4" s="195"/>
    </row>
    <row r="5" spans="1:51" ht="19.5" hidden="1" customHeight="1" x14ac:dyDescent="0.3">
      <c r="A5" s="58"/>
      <c r="B5" s="58"/>
      <c r="C5" s="58"/>
      <c r="D5" s="58"/>
      <c r="E5" s="58"/>
      <c r="F5" s="58"/>
      <c r="G5" s="161"/>
      <c r="H5" s="161"/>
      <c r="I5" s="161"/>
      <c r="J5" s="184"/>
      <c r="K5" s="185"/>
      <c r="L5" s="185"/>
      <c r="M5" s="185"/>
      <c r="N5" s="186"/>
      <c r="O5" s="186"/>
      <c r="P5" s="186"/>
      <c r="Q5" s="187"/>
      <c r="R5" s="186"/>
      <c r="S5" s="188"/>
      <c r="T5" s="188"/>
      <c r="U5" s="189"/>
      <c r="V5" s="190"/>
      <c r="W5" s="187"/>
      <c r="X5" s="187"/>
      <c r="Y5" s="186"/>
      <c r="Z5" s="191"/>
      <c r="AA5" s="191"/>
      <c r="AB5" s="191"/>
      <c r="AC5" s="192"/>
      <c r="AD5" s="193"/>
      <c r="AE5" s="193"/>
      <c r="AF5" s="193"/>
      <c r="AG5" s="193"/>
      <c r="AH5" s="194"/>
    </row>
    <row r="6" spans="1:51" ht="24.9" customHeight="1" x14ac:dyDescent="0.3">
      <c r="A6" s="58"/>
      <c r="B6" s="58"/>
      <c r="C6" s="58"/>
      <c r="D6" s="58"/>
      <c r="E6" s="58"/>
      <c r="F6" s="58"/>
      <c r="G6" s="161"/>
      <c r="H6" s="152"/>
      <c r="I6" s="152"/>
      <c r="J6" s="104" t="s">
        <v>73</v>
      </c>
      <c r="K6" s="105"/>
      <c r="L6" s="105"/>
      <c r="M6" s="105"/>
      <c r="N6" s="105"/>
      <c r="O6" s="105"/>
      <c r="P6" s="105"/>
      <c r="Q6" s="105"/>
      <c r="R6" s="105"/>
      <c r="S6" s="106"/>
      <c r="T6" s="106"/>
      <c r="U6" s="106"/>
      <c r="V6" s="107"/>
      <c r="W6" s="105"/>
      <c r="X6" s="105"/>
      <c r="Y6" s="105"/>
      <c r="Z6" s="106"/>
      <c r="AA6" s="106"/>
      <c r="AB6" s="106"/>
      <c r="AC6" s="105"/>
      <c r="AD6" s="105"/>
      <c r="AE6" s="105"/>
      <c r="AF6" s="105"/>
      <c r="AG6" s="105"/>
      <c r="AH6" s="152"/>
      <c r="AI6" s="210"/>
      <c r="AJ6" s="210"/>
      <c r="AK6" s="210"/>
      <c r="AL6" s="210"/>
      <c r="AM6" s="210"/>
      <c r="AN6" s="210"/>
      <c r="AO6" s="210"/>
      <c r="AP6" s="210"/>
      <c r="AQ6" s="210"/>
      <c r="AR6" s="210"/>
      <c r="AS6" s="210"/>
      <c r="AT6" s="210"/>
      <c r="AU6" s="210"/>
      <c r="AV6" s="210"/>
      <c r="AW6" s="210"/>
      <c r="AX6" s="210"/>
      <c r="AY6" s="210"/>
    </row>
    <row r="7" spans="1:51" ht="14.1" customHeight="1" x14ac:dyDescent="0.3">
      <c r="A7" s="61"/>
      <c r="B7" s="61"/>
      <c r="C7" s="61"/>
      <c r="D7" s="61"/>
      <c r="E7" s="61"/>
      <c r="F7" s="61"/>
      <c r="G7" s="159"/>
      <c r="H7" s="159"/>
      <c r="I7" s="159"/>
      <c r="J7" s="118" t="s">
        <v>156</v>
      </c>
      <c r="K7" s="122"/>
      <c r="L7" s="122"/>
      <c r="M7" s="122"/>
      <c r="N7" s="123"/>
      <c r="O7" s="123"/>
      <c r="P7" s="123"/>
      <c r="Q7" s="124"/>
      <c r="R7" s="124"/>
      <c r="S7" s="125"/>
      <c r="T7" s="125"/>
      <c r="U7" s="125"/>
      <c r="V7" s="126"/>
      <c r="W7" s="124"/>
      <c r="X7" s="124"/>
      <c r="Y7" s="124"/>
      <c r="Z7" s="127"/>
      <c r="AA7" s="127"/>
      <c r="AB7" s="127"/>
      <c r="AC7" s="128"/>
      <c r="AD7" s="128"/>
      <c r="AE7" s="128"/>
      <c r="AF7" s="128"/>
      <c r="AG7" s="128"/>
      <c r="AH7" s="153"/>
      <c r="AI7" s="210"/>
      <c r="AJ7" s="210"/>
      <c r="AK7" s="210"/>
      <c r="AL7" s="210"/>
      <c r="AM7" s="210"/>
      <c r="AN7" s="210"/>
      <c r="AO7" s="210"/>
      <c r="AP7" s="210"/>
      <c r="AQ7" s="210"/>
      <c r="AR7" s="210"/>
      <c r="AS7" s="210"/>
      <c r="AT7" s="210"/>
      <c r="AU7" s="210"/>
      <c r="AV7" s="210"/>
      <c r="AW7" s="210"/>
      <c r="AX7" s="210"/>
      <c r="AY7" s="210"/>
    </row>
    <row r="8" spans="1:51" ht="14.1" customHeight="1" x14ac:dyDescent="0.3">
      <c r="A8" s="61"/>
      <c r="B8" s="61"/>
      <c r="C8" s="61"/>
      <c r="D8" s="61"/>
      <c r="E8" s="61"/>
      <c r="F8" s="61"/>
      <c r="G8" s="159"/>
      <c r="H8" s="159"/>
      <c r="I8" s="159"/>
      <c r="J8" s="129" t="s">
        <v>72</v>
      </c>
      <c r="K8" s="119"/>
      <c r="L8" s="119"/>
      <c r="M8" s="119"/>
      <c r="N8" s="119"/>
      <c r="O8" s="119"/>
      <c r="P8" s="119"/>
      <c r="Q8" s="119"/>
      <c r="R8" s="119"/>
      <c r="S8" s="120"/>
      <c r="T8" s="120"/>
      <c r="U8" s="120"/>
      <c r="V8" s="121"/>
      <c r="W8" s="119"/>
      <c r="X8" s="119"/>
      <c r="Y8" s="119"/>
      <c r="Z8" s="120"/>
      <c r="AA8" s="120"/>
      <c r="AB8" s="120"/>
      <c r="AC8" s="119"/>
      <c r="AD8" s="119"/>
      <c r="AE8" s="119"/>
      <c r="AF8" s="119"/>
      <c r="AG8" s="119"/>
      <c r="AH8" s="154"/>
      <c r="AI8" s="210"/>
      <c r="AJ8" s="210"/>
      <c r="AK8" s="210"/>
      <c r="AL8" s="210"/>
      <c r="AM8" s="210"/>
      <c r="AN8" s="210"/>
      <c r="AO8" s="210"/>
      <c r="AP8" s="210"/>
      <c r="AQ8" s="210"/>
      <c r="AR8" s="210"/>
      <c r="AS8" s="210"/>
      <c r="AT8" s="210"/>
      <c r="AU8" s="210"/>
      <c r="AV8" s="210"/>
      <c r="AW8" s="210"/>
      <c r="AX8" s="210"/>
      <c r="AY8" s="210"/>
    </row>
    <row r="9" spans="1:51" ht="23.25" customHeight="1" x14ac:dyDescent="0.3">
      <c r="A9" s="58" t="s">
        <v>17</v>
      </c>
      <c r="B9" s="58" t="s">
        <v>71</v>
      </c>
      <c r="C9" s="58" t="s">
        <v>70</v>
      </c>
      <c r="D9" s="58" t="s">
        <v>69</v>
      </c>
      <c r="E9" s="58" t="s">
        <v>68</v>
      </c>
      <c r="F9" s="58" t="s">
        <v>67</v>
      </c>
      <c r="G9" s="161"/>
      <c r="H9" s="62"/>
      <c r="I9" s="62"/>
      <c r="J9" s="144" t="s">
        <v>44</v>
      </c>
      <c r="K9" s="145" t="s">
        <v>66</v>
      </c>
      <c r="L9" s="146" t="s">
        <v>226</v>
      </c>
      <c r="M9" s="145" t="s">
        <v>227</v>
      </c>
      <c r="N9" s="146" t="s">
        <v>160</v>
      </c>
      <c r="O9" s="146" t="s">
        <v>65</v>
      </c>
      <c r="P9" s="146" t="s">
        <v>64</v>
      </c>
      <c r="Q9" s="147" t="s">
        <v>63</v>
      </c>
      <c r="R9" s="146" t="s">
        <v>62</v>
      </c>
      <c r="S9" s="147" t="s">
        <v>61</v>
      </c>
      <c r="T9" s="147" t="s">
        <v>60</v>
      </c>
      <c r="U9" s="146" t="s">
        <v>59</v>
      </c>
      <c r="V9" s="148" t="s">
        <v>130</v>
      </c>
      <c r="W9" s="147" t="s">
        <v>58</v>
      </c>
      <c r="X9" s="147" t="s">
        <v>57</v>
      </c>
      <c r="Y9" s="146" t="s">
        <v>56</v>
      </c>
      <c r="Z9" s="146" t="s">
        <v>55</v>
      </c>
      <c r="AA9" s="146" t="s">
        <v>54</v>
      </c>
      <c r="AB9" s="146" t="s">
        <v>5</v>
      </c>
      <c r="AC9" s="148" t="s">
        <v>27</v>
      </c>
      <c r="AD9" s="148" t="s">
        <v>53</v>
      </c>
      <c r="AE9" s="148" t="s">
        <v>52</v>
      </c>
      <c r="AF9" s="148" t="s">
        <v>134</v>
      </c>
      <c r="AG9" s="148" t="s">
        <v>135</v>
      </c>
      <c r="AH9" s="155"/>
      <c r="AI9" s="210"/>
      <c r="AJ9" s="210"/>
      <c r="AK9" s="210"/>
      <c r="AL9" s="210"/>
      <c r="AM9" s="210"/>
      <c r="AN9" s="210"/>
      <c r="AO9" s="210"/>
      <c r="AP9" s="210"/>
      <c r="AQ9" s="210"/>
      <c r="AR9" s="210"/>
      <c r="AS9" s="210"/>
      <c r="AT9" s="210"/>
      <c r="AU9" s="210"/>
      <c r="AV9" s="210"/>
      <c r="AW9" s="210"/>
      <c r="AX9" s="210"/>
      <c r="AY9" s="210"/>
    </row>
    <row r="10" spans="1:51" ht="16.5" customHeight="1" x14ac:dyDescent="0.3">
      <c r="A10" s="210" t="s">
        <v>51</v>
      </c>
      <c r="B10" s="210">
        <v>1</v>
      </c>
      <c r="C10" s="210"/>
      <c r="D10" s="210"/>
      <c r="E10" s="210"/>
      <c r="F10" s="210"/>
      <c r="J10" s="202">
        <v>1</v>
      </c>
      <c r="K10" s="203" t="s">
        <v>50</v>
      </c>
      <c r="L10" s="203"/>
      <c r="M10" s="203"/>
      <c r="N10" s="203"/>
      <c r="O10" s="204"/>
      <c r="P10" s="205"/>
      <c r="Q10" s="206"/>
      <c r="R10" s="207"/>
      <c r="S10" s="206">
        <v>42393</v>
      </c>
      <c r="T10" s="206">
        <v>42394</v>
      </c>
      <c r="U10" s="207">
        <v>1</v>
      </c>
      <c r="V10" s="208">
        <v>0</v>
      </c>
      <c r="W10" s="130"/>
      <c r="X10" s="130"/>
      <c r="Y10" s="131"/>
      <c r="Z10" s="132"/>
      <c r="AA10" s="132"/>
      <c r="AB10" s="132"/>
      <c r="AC10" s="137"/>
      <c r="AD10" s="138"/>
      <c r="AE10" s="139"/>
      <c r="AF10" s="140"/>
      <c r="AG10" s="141"/>
      <c r="AH10" s="156"/>
      <c r="AI10" s="210"/>
      <c r="AJ10" s="210"/>
      <c r="AK10" s="210"/>
      <c r="AL10" s="210"/>
      <c r="AM10" s="210"/>
      <c r="AN10" s="210"/>
      <c r="AO10" s="210"/>
      <c r="AP10" s="210"/>
      <c r="AQ10" s="210"/>
      <c r="AR10" s="210"/>
      <c r="AS10" s="210"/>
      <c r="AT10" s="210"/>
      <c r="AU10" s="210"/>
      <c r="AV10" s="210"/>
      <c r="AW10" s="210"/>
      <c r="AX10" s="210"/>
      <c r="AY10" s="210"/>
    </row>
    <row r="11" spans="1:51" ht="16.5" customHeight="1" x14ac:dyDescent="0.3">
      <c r="A11" s="210"/>
      <c r="B11" s="210"/>
      <c r="C11" s="210"/>
      <c r="D11" s="210"/>
      <c r="E11" s="210"/>
      <c r="F11" s="210"/>
      <c r="J11" s="202"/>
      <c r="K11" s="209" t="s">
        <v>49</v>
      </c>
      <c r="L11" s="209"/>
      <c r="M11" s="209"/>
      <c r="N11" s="203"/>
      <c r="O11" s="204"/>
      <c r="P11" s="205"/>
      <c r="Q11" s="206"/>
      <c r="R11" s="207"/>
      <c r="S11" s="206"/>
      <c r="T11" s="206"/>
      <c r="U11" s="207"/>
      <c r="V11" s="208"/>
      <c r="W11" s="130"/>
      <c r="X11" s="130"/>
      <c r="Y11" s="131"/>
      <c r="Z11" s="132"/>
      <c r="AA11" s="132"/>
      <c r="AB11" s="132"/>
      <c r="AC11" s="137"/>
      <c r="AD11" s="137"/>
      <c r="AE11" s="137"/>
      <c r="AF11" s="137"/>
      <c r="AG11" s="137"/>
      <c r="AH11" s="157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</row>
    <row r="12" spans="1:51" ht="16.5" customHeight="1" x14ac:dyDescent="0.3">
      <c r="A12" s="210"/>
      <c r="B12" s="210"/>
      <c r="C12" s="210"/>
      <c r="D12" s="210"/>
      <c r="E12" s="210"/>
      <c r="F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</row>
    <row r="13" spans="1:51" ht="16.5" customHeight="1" x14ac:dyDescent="0.3">
      <c r="A13" s="210"/>
      <c r="B13" s="210"/>
      <c r="C13" s="210"/>
      <c r="D13" s="210"/>
      <c r="E13" s="210"/>
      <c r="F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</row>
    <row r="14" spans="1:51" ht="16.5" customHeight="1" x14ac:dyDescent="0.3">
      <c r="A14" s="210"/>
      <c r="B14" s="210"/>
      <c r="C14" s="210"/>
      <c r="D14" s="210"/>
      <c r="E14" s="210"/>
      <c r="F14" s="210"/>
      <c r="AI14" s="210"/>
      <c r="AJ14" s="210"/>
      <c r="AK14" s="210"/>
      <c r="AL14" s="210"/>
      <c r="AM14" s="210"/>
      <c r="AN14" s="210"/>
      <c r="AO14" s="210"/>
      <c r="AP14" s="210"/>
      <c r="AQ14" s="210"/>
      <c r="AR14" s="210"/>
      <c r="AS14" s="210"/>
      <c r="AT14" s="210"/>
      <c r="AU14" s="210"/>
      <c r="AV14" s="210"/>
      <c r="AW14" s="210"/>
      <c r="AX14" s="210"/>
      <c r="AY14" s="210"/>
    </row>
    <row r="15" spans="1:51" ht="16.5" customHeight="1" x14ac:dyDescent="0.3">
      <c r="A15" s="210"/>
      <c r="B15" s="210"/>
      <c r="C15" s="210"/>
      <c r="D15" s="210"/>
      <c r="E15" s="210"/>
      <c r="F15" s="210"/>
      <c r="AI15" s="210"/>
      <c r="AJ15" s="210"/>
      <c r="AK15" s="210"/>
      <c r="AL15" s="210"/>
      <c r="AM15" s="210"/>
      <c r="AN15" s="210"/>
      <c r="AO15" s="210"/>
      <c r="AP15" s="210"/>
      <c r="AQ15" s="210"/>
      <c r="AR15" s="210"/>
      <c r="AS15" s="210"/>
      <c r="AT15" s="210"/>
      <c r="AU15" s="210"/>
      <c r="AV15" s="210"/>
      <c r="AW15" s="210"/>
      <c r="AX15" s="210"/>
      <c r="AY15" s="210"/>
    </row>
    <row r="16" spans="1:51" ht="16.5" customHeight="1" x14ac:dyDescent="0.3">
      <c r="A16" s="210"/>
      <c r="B16" s="210"/>
      <c r="C16" s="210"/>
      <c r="D16" s="210"/>
      <c r="E16" s="210"/>
      <c r="F16" s="210"/>
      <c r="AI16" s="210"/>
      <c r="AJ16" s="210"/>
      <c r="AK16" s="210"/>
      <c r="AL16" s="210"/>
      <c r="AM16" s="210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</row>
    <row r="17" spans="1:51" ht="16.5" customHeight="1" x14ac:dyDescent="0.3">
      <c r="A17" s="210"/>
      <c r="B17" s="210"/>
      <c r="C17" s="210"/>
      <c r="D17" s="210"/>
      <c r="E17" s="210"/>
      <c r="F17" s="210"/>
      <c r="AI17" s="210"/>
      <c r="AJ17" s="210"/>
      <c r="AK17" s="210"/>
      <c r="AL17" s="210"/>
      <c r="AM17" s="210"/>
      <c r="AN17" s="210"/>
      <c r="AO17" s="210"/>
      <c r="AP17" s="210"/>
      <c r="AQ17" s="210"/>
      <c r="AR17" s="210"/>
      <c r="AS17" s="210"/>
      <c r="AT17" s="210"/>
      <c r="AU17" s="210"/>
      <c r="AV17" s="210"/>
      <c r="AW17" s="210"/>
      <c r="AX17" s="210"/>
      <c r="AY17" s="210"/>
    </row>
    <row r="18" spans="1:51" ht="16.5" customHeight="1" x14ac:dyDescent="0.3">
      <c r="A18" s="210"/>
      <c r="B18" s="210"/>
      <c r="C18" s="210"/>
      <c r="D18" s="210"/>
      <c r="E18" s="210"/>
      <c r="F18" s="210"/>
      <c r="AI18" s="210"/>
      <c r="AJ18" s="210"/>
      <c r="AK18" s="210"/>
      <c r="AL18" s="210"/>
      <c r="AM18" s="210"/>
      <c r="AN18" s="210"/>
      <c r="AO18" s="210"/>
      <c r="AP18" s="210"/>
      <c r="AQ18" s="210"/>
      <c r="AR18" s="210"/>
      <c r="AS18" s="210"/>
      <c r="AT18" s="210"/>
      <c r="AU18" s="210"/>
      <c r="AV18" s="210"/>
      <c r="AW18" s="210"/>
      <c r="AX18" s="210"/>
      <c r="AY18" s="210"/>
    </row>
    <row r="19" spans="1:51" ht="16.5" customHeight="1" x14ac:dyDescent="0.3">
      <c r="A19" s="210"/>
      <c r="B19" s="210"/>
      <c r="C19" s="210"/>
      <c r="D19" s="210"/>
      <c r="E19" s="210"/>
      <c r="F19" s="210"/>
      <c r="AI19" s="210"/>
      <c r="AJ19" s="210"/>
      <c r="AK19" s="210"/>
      <c r="AL19" s="210"/>
      <c r="AM19" s="210"/>
      <c r="AN19" s="210"/>
      <c r="AO19" s="210"/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</row>
    <row r="20" spans="1:51" ht="16.5" customHeight="1" x14ac:dyDescent="0.3">
      <c r="A20" s="210"/>
      <c r="B20" s="210"/>
      <c r="C20" s="210"/>
      <c r="D20" s="210"/>
      <c r="E20" s="210"/>
      <c r="F20" s="210"/>
      <c r="AI20" s="210"/>
      <c r="AJ20" s="210"/>
      <c r="AK20" s="210"/>
      <c r="AL20" s="210"/>
      <c r="AM20" s="210"/>
      <c r="AN20" s="210"/>
      <c r="AO20" s="210"/>
      <c r="AP20" s="210"/>
      <c r="AQ20" s="210"/>
      <c r="AR20" s="210"/>
      <c r="AS20" s="210"/>
      <c r="AT20" s="210"/>
      <c r="AU20" s="210"/>
      <c r="AV20" s="210"/>
      <c r="AW20" s="210"/>
      <c r="AX20" s="210"/>
      <c r="AY20" s="210"/>
    </row>
    <row r="21" spans="1:51" ht="16.350000000000001" customHeight="1" x14ac:dyDescent="0.3">
      <c r="A21" s="210"/>
      <c r="B21" s="210"/>
      <c r="C21" s="210"/>
      <c r="D21" s="210"/>
      <c r="E21" s="210"/>
      <c r="F21" s="210"/>
      <c r="AI21" s="210"/>
      <c r="AJ21" s="210"/>
      <c r="AK21" s="210"/>
      <c r="AL21" s="210"/>
      <c r="AM21" s="210"/>
      <c r="AN21" s="210"/>
      <c r="AO21" s="210"/>
      <c r="AP21" s="210"/>
      <c r="AQ21" s="210"/>
      <c r="AR21" s="210"/>
      <c r="AS21" s="210"/>
      <c r="AT21" s="210"/>
      <c r="AU21" s="210"/>
      <c r="AV21" s="210"/>
      <c r="AW21" s="210"/>
      <c r="AX21" s="210"/>
      <c r="AY21" s="210"/>
    </row>
    <row r="22" spans="1:51" ht="16.350000000000001" customHeight="1" x14ac:dyDescent="0.3">
      <c r="A22" s="210"/>
      <c r="B22" s="210"/>
      <c r="C22" s="210"/>
      <c r="D22" s="210"/>
      <c r="E22" s="210"/>
      <c r="F22" s="210"/>
      <c r="AI22" s="210"/>
      <c r="AJ22" s="210"/>
      <c r="AK22" s="210"/>
      <c r="AL22" s="210"/>
      <c r="AM22" s="210"/>
      <c r="AN22" s="210"/>
      <c r="AO22" s="210"/>
      <c r="AP22" s="210"/>
      <c r="AQ22" s="210"/>
      <c r="AR22" s="210"/>
      <c r="AS22" s="210"/>
      <c r="AT22" s="210"/>
      <c r="AU22" s="210"/>
      <c r="AV22" s="210"/>
      <c r="AW22" s="210"/>
      <c r="AX22" s="210"/>
      <c r="AY22" s="210"/>
    </row>
    <row r="23" spans="1:51" ht="16.350000000000001" customHeight="1" x14ac:dyDescent="0.3">
      <c r="A23" s="210"/>
      <c r="B23" s="210"/>
      <c r="C23" s="210"/>
      <c r="D23" s="210"/>
      <c r="E23" s="210"/>
      <c r="F23" s="210"/>
      <c r="AI23" s="210"/>
      <c r="AJ23" s="210"/>
      <c r="AK23" s="210"/>
      <c r="AL23" s="210"/>
      <c r="AM23" s="210"/>
      <c r="AN23" s="210"/>
      <c r="AO23" s="210"/>
      <c r="AP23" s="210"/>
      <c r="AQ23" s="210"/>
      <c r="AR23" s="210"/>
      <c r="AS23" s="210"/>
      <c r="AT23" s="210"/>
      <c r="AU23" s="210"/>
      <c r="AV23" s="210"/>
      <c r="AW23" s="210"/>
      <c r="AX23" s="210"/>
      <c r="AY23" s="210"/>
    </row>
    <row r="24" spans="1:51" ht="16.350000000000001" customHeight="1" x14ac:dyDescent="0.3">
      <c r="A24" s="210"/>
      <c r="B24" s="210"/>
      <c r="C24" s="210"/>
      <c r="D24" s="210"/>
      <c r="E24" s="210"/>
      <c r="F24" s="210"/>
      <c r="AI24" s="210"/>
      <c r="AJ24" s="210"/>
      <c r="AK24" s="210"/>
      <c r="AL24" s="210"/>
      <c r="AM24" s="210"/>
      <c r="AN24" s="210"/>
      <c r="AO24" s="210"/>
      <c r="AP24" s="210"/>
      <c r="AQ24" s="210"/>
      <c r="AR24" s="210"/>
      <c r="AS24" s="210"/>
      <c r="AT24" s="210"/>
      <c r="AU24" s="210"/>
      <c r="AV24" s="210"/>
      <c r="AW24" s="210"/>
      <c r="AX24" s="210"/>
      <c r="AY24" s="210"/>
    </row>
    <row r="25" spans="1:51" ht="16.350000000000001" customHeight="1" x14ac:dyDescent="0.3">
      <c r="A25" s="210"/>
      <c r="B25" s="210"/>
      <c r="C25" s="210"/>
      <c r="D25" s="210"/>
      <c r="E25" s="210"/>
      <c r="F25" s="210"/>
      <c r="AI25" s="210"/>
      <c r="AJ25" s="210"/>
      <c r="AK25" s="210"/>
      <c r="AL25" s="210"/>
      <c r="AM25" s="210"/>
      <c r="AN25" s="210"/>
      <c r="AO25" s="210"/>
      <c r="AP25" s="210"/>
      <c r="AQ25" s="210"/>
      <c r="AR25" s="210"/>
      <c r="AS25" s="210"/>
      <c r="AT25" s="210"/>
      <c r="AU25" s="210"/>
      <c r="AV25" s="210"/>
      <c r="AW25" s="210"/>
      <c r="AX25" s="210"/>
      <c r="AY25" s="210"/>
    </row>
    <row r="26" spans="1:51" ht="16.350000000000001" customHeight="1" x14ac:dyDescent="0.3">
      <c r="A26" s="210"/>
      <c r="B26" s="210"/>
      <c r="C26" s="210"/>
      <c r="D26" s="210"/>
      <c r="E26" s="210"/>
      <c r="F26" s="210"/>
      <c r="AI26" s="210"/>
      <c r="AJ26" s="210"/>
      <c r="AK26" s="210"/>
      <c r="AL26" s="210"/>
      <c r="AM26" s="210"/>
      <c r="AN26" s="210"/>
      <c r="AO26" s="210"/>
      <c r="AP26" s="210"/>
      <c r="AQ26" s="210"/>
      <c r="AR26" s="210"/>
      <c r="AS26" s="210"/>
      <c r="AT26" s="210"/>
      <c r="AU26" s="210"/>
      <c r="AV26" s="210"/>
      <c r="AW26" s="210"/>
      <c r="AX26" s="210"/>
      <c r="AY26" s="210"/>
    </row>
    <row r="27" spans="1:51" ht="16.350000000000001" customHeight="1" x14ac:dyDescent="0.3">
      <c r="A27" s="210"/>
      <c r="B27" s="210"/>
      <c r="C27" s="210"/>
      <c r="D27" s="210"/>
      <c r="E27" s="210"/>
      <c r="F27" s="210"/>
      <c r="AI27" s="210"/>
      <c r="AJ27" s="210"/>
      <c r="AK27" s="210"/>
      <c r="AL27" s="210"/>
      <c r="AM27" s="210"/>
      <c r="AN27" s="210"/>
      <c r="AO27" s="210"/>
      <c r="AP27" s="210"/>
      <c r="AQ27" s="210"/>
      <c r="AR27" s="210"/>
      <c r="AS27" s="210"/>
      <c r="AT27" s="210"/>
      <c r="AU27" s="210"/>
      <c r="AV27" s="210"/>
      <c r="AW27" s="210"/>
      <c r="AX27" s="210"/>
      <c r="AY27" s="210"/>
    </row>
    <row r="28" spans="1:51" ht="16.350000000000001" customHeight="1" x14ac:dyDescent="0.3">
      <c r="A28" s="210"/>
      <c r="B28" s="210"/>
      <c r="C28" s="210"/>
      <c r="D28" s="210"/>
      <c r="E28" s="210"/>
      <c r="F28" s="210"/>
      <c r="AI28" s="210"/>
      <c r="AJ28" s="210"/>
      <c r="AK28" s="210"/>
      <c r="AL28" s="210"/>
      <c r="AM28" s="210"/>
      <c r="AN28" s="210"/>
      <c r="AO28" s="210"/>
      <c r="AP28" s="210"/>
      <c r="AQ28" s="210"/>
      <c r="AR28" s="210"/>
      <c r="AS28" s="210"/>
      <c r="AT28" s="210"/>
      <c r="AU28" s="210"/>
      <c r="AV28" s="210"/>
      <c r="AW28" s="210"/>
      <c r="AX28" s="210"/>
      <c r="AY28" s="210"/>
    </row>
    <row r="29" spans="1:51" ht="16.350000000000001" customHeight="1" x14ac:dyDescent="0.3">
      <c r="A29" s="210"/>
      <c r="B29" s="210"/>
      <c r="C29" s="210"/>
      <c r="D29" s="210"/>
      <c r="E29" s="210"/>
      <c r="F29" s="210"/>
      <c r="AI29" s="210"/>
      <c r="AJ29" s="210"/>
      <c r="AK29" s="210"/>
      <c r="AL29" s="210"/>
      <c r="AM29" s="210"/>
      <c r="AN29" s="210"/>
      <c r="AO29" s="210"/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</row>
    <row r="30" spans="1:51" ht="16.350000000000001" customHeight="1" x14ac:dyDescent="0.3">
      <c r="A30" s="210"/>
      <c r="B30" s="210"/>
      <c r="C30" s="210"/>
      <c r="D30" s="210"/>
      <c r="E30" s="210"/>
      <c r="F30" s="210"/>
      <c r="AI30" s="210"/>
      <c r="AJ30" s="210"/>
      <c r="AK30" s="210"/>
      <c r="AL30" s="210"/>
      <c r="AM30" s="210"/>
      <c r="AN30" s="210"/>
      <c r="AO30" s="210"/>
      <c r="AP30" s="210"/>
      <c r="AQ30" s="210"/>
      <c r="AR30" s="210"/>
      <c r="AS30" s="210"/>
      <c r="AT30" s="210"/>
      <c r="AU30" s="210"/>
      <c r="AV30" s="210"/>
      <c r="AW30" s="210"/>
      <c r="AX30" s="210"/>
      <c r="AY30" s="210"/>
    </row>
    <row r="31" spans="1:51" ht="16.350000000000001" customHeight="1" x14ac:dyDescent="0.3">
      <c r="A31" s="210"/>
      <c r="B31" s="210"/>
      <c r="C31" s="210"/>
      <c r="D31" s="210"/>
      <c r="E31" s="210"/>
      <c r="F31" s="210"/>
      <c r="AI31" s="210"/>
      <c r="AJ31" s="210"/>
      <c r="AK31" s="210"/>
      <c r="AL31" s="210"/>
      <c r="AM31" s="210"/>
      <c r="AN31" s="210"/>
      <c r="AO31" s="210"/>
      <c r="AP31" s="210"/>
      <c r="AQ31" s="210"/>
      <c r="AR31" s="210"/>
      <c r="AS31" s="210"/>
      <c r="AT31" s="210"/>
      <c r="AU31" s="210"/>
      <c r="AV31" s="210"/>
      <c r="AW31" s="210"/>
      <c r="AX31" s="210"/>
      <c r="AY31" s="210"/>
    </row>
    <row r="32" spans="1:51" ht="16.350000000000001" customHeight="1" x14ac:dyDescent="0.3">
      <c r="A32" s="210"/>
      <c r="B32" s="210"/>
      <c r="C32" s="210"/>
      <c r="D32" s="210"/>
      <c r="E32" s="210"/>
      <c r="F32" s="210"/>
      <c r="AI32" s="210"/>
      <c r="AJ32" s="210"/>
      <c r="AK32" s="210"/>
      <c r="AL32" s="210"/>
      <c r="AM32" s="210"/>
      <c r="AN32" s="210"/>
      <c r="AO32" s="210"/>
      <c r="AP32" s="210"/>
      <c r="AQ32" s="210"/>
      <c r="AR32" s="210"/>
      <c r="AS32" s="210"/>
      <c r="AT32" s="210"/>
      <c r="AU32" s="210"/>
      <c r="AV32" s="210"/>
      <c r="AW32" s="210"/>
      <c r="AX32" s="210"/>
      <c r="AY32" s="210"/>
    </row>
    <row r="33" spans="1:51" ht="16.350000000000001" customHeight="1" x14ac:dyDescent="0.3">
      <c r="A33" s="210"/>
      <c r="B33" s="210"/>
      <c r="C33" s="210"/>
      <c r="D33" s="210"/>
      <c r="E33" s="210"/>
      <c r="F33" s="210"/>
      <c r="AI33" s="210"/>
      <c r="AJ33" s="210"/>
      <c r="AK33" s="210"/>
      <c r="AL33" s="210"/>
      <c r="AM33" s="210"/>
      <c r="AN33" s="210"/>
      <c r="AO33" s="210"/>
      <c r="AP33" s="210"/>
      <c r="AQ33" s="210"/>
      <c r="AR33" s="210"/>
      <c r="AS33" s="210"/>
      <c r="AT33" s="210"/>
      <c r="AU33" s="210"/>
      <c r="AV33" s="210"/>
      <c r="AW33" s="210"/>
      <c r="AX33" s="210"/>
      <c r="AY33" s="210"/>
    </row>
    <row r="34" spans="1:51" ht="16.350000000000001" customHeight="1" x14ac:dyDescent="0.3">
      <c r="A34" s="210"/>
      <c r="B34" s="210"/>
      <c r="C34" s="210"/>
      <c r="D34" s="210"/>
      <c r="E34" s="210"/>
      <c r="F34" s="210"/>
      <c r="AI34" s="210"/>
      <c r="AJ34" s="210"/>
      <c r="AK34" s="210"/>
      <c r="AL34" s="210"/>
      <c r="AM34" s="210"/>
      <c r="AN34" s="210"/>
      <c r="AO34" s="210"/>
      <c r="AP34" s="210"/>
      <c r="AQ34" s="210"/>
      <c r="AR34" s="210"/>
      <c r="AS34" s="210"/>
      <c r="AT34" s="210"/>
      <c r="AU34" s="210"/>
      <c r="AV34" s="210"/>
      <c r="AW34" s="210"/>
      <c r="AX34" s="210"/>
      <c r="AY34" s="210"/>
    </row>
    <row r="35" spans="1:51" ht="16.350000000000001" customHeight="1" x14ac:dyDescent="0.3">
      <c r="A35" s="210"/>
      <c r="B35" s="210"/>
      <c r="C35" s="210"/>
      <c r="D35" s="210"/>
      <c r="E35" s="210"/>
      <c r="F35" s="210"/>
      <c r="AI35" s="210"/>
      <c r="AJ35" s="210"/>
      <c r="AK35" s="210"/>
      <c r="AL35" s="210"/>
      <c r="AM35" s="210"/>
      <c r="AN35" s="210"/>
      <c r="AO35" s="210"/>
      <c r="AP35" s="210"/>
      <c r="AQ35" s="210"/>
      <c r="AR35" s="210"/>
      <c r="AS35" s="210"/>
      <c r="AT35" s="210"/>
      <c r="AU35" s="210"/>
      <c r="AV35" s="210"/>
      <c r="AW35" s="210"/>
      <c r="AX35" s="210"/>
      <c r="AY35" s="210"/>
    </row>
    <row r="36" spans="1:51" ht="16.350000000000001" customHeight="1" x14ac:dyDescent="0.3">
      <c r="A36" s="210"/>
      <c r="B36" s="210"/>
      <c r="C36" s="210"/>
      <c r="D36" s="210"/>
      <c r="E36" s="210"/>
      <c r="F36" s="210"/>
      <c r="AI36" s="210"/>
      <c r="AJ36" s="210"/>
      <c r="AK36" s="210"/>
      <c r="AL36" s="210"/>
      <c r="AM36" s="210"/>
      <c r="AN36" s="210"/>
      <c r="AO36" s="210"/>
      <c r="AP36" s="210"/>
      <c r="AQ36" s="210"/>
      <c r="AR36" s="210"/>
      <c r="AS36" s="210"/>
      <c r="AT36" s="210"/>
      <c r="AU36" s="210"/>
      <c r="AV36" s="210"/>
      <c r="AW36" s="210"/>
      <c r="AX36" s="210"/>
      <c r="AY36" s="210"/>
    </row>
    <row r="37" spans="1:51" ht="16.350000000000001" customHeight="1" x14ac:dyDescent="0.3">
      <c r="A37" s="210"/>
      <c r="B37" s="210"/>
      <c r="C37" s="210"/>
      <c r="D37" s="210"/>
      <c r="E37" s="210"/>
      <c r="F37" s="210"/>
      <c r="AI37" s="210"/>
      <c r="AJ37" s="210"/>
      <c r="AK37" s="210"/>
      <c r="AL37" s="210"/>
      <c r="AM37" s="210"/>
      <c r="AN37" s="210"/>
      <c r="AO37" s="210"/>
      <c r="AP37" s="210"/>
      <c r="AQ37" s="210"/>
      <c r="AR37" s="210"/>
      <c r="AS37" s="210"/>
      <c r="AT37" s="210"/>
      <c r="AU37" s="210"/>
      <c r="AV37" s="210"/>
      <c r="AW37" s="210"/>
      <c r="AX37" s="210"/>
      <c r="AY37" s="210"/>
    </row>
    <row r="38" spans="1:51" ht="16.350000000000001" customHeight="1" x14ac:dyDescent="0.3">
      <c r="A38" s="210"/>
      <c r="B38" s="210"/>
      <c r="C38" s="210"/>
      <c r="D38" s="210"/>
      <c r="E38" s="210"/>
      <c r="F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  <c r="AS38" s="210"/>
      <c r="AT38" s="210"/>
      <c r="AU38" s="210"/>
      <c r="AV38" s="210"/>
      <c r="AW38" s="210"/>
      <c r="AX38" s="210"/>
      <c r="AY38" s="210"/>
    </row>
    <row r="39" spans="1:51" ht="16.350000000000001" customHeight="1" x14ac:dyDescent="0.3">
      <c r="A39" s="210"/>
      <c r="B39" s="210"/>
      <c r="C39" s="210"/>
      <c r="D39" s="210"/>
      <c r="E39" s="210"/>
      <c r="F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  <c r="AS39" s="210"/>
      <c r="AT39" s="210"/>
      <c r="AU39" s="210"/>
      <c r="AV39" s="210"/>
      <c r="AW39" s="210"/>
      <c r="AX39" s="210"/>
      <c r="AY39" s="210"/>
    </row>
    <row r="40" spans="1:51" ht="16.350000000000001" customHeight="1" x14ac:dyDescent="0.3">
      <c r="A40" s="210"/>
      <c r="B40" s="210"/>
      <c r="C40" s="210"/>
      <c r="D40" s="210"/>
      <c r="E40" s="210"/>
      <c r="F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  <c r="AS40" s="210"/>
      <c r="AT40" s="210"/>
      <c r="AU40" s="210"/>
      <c r="AV40" s="210"/>
      <c r="AW40" s="210"/>
      <c r="AX40" s="210"/>
      <c r="AY40" s="210"/>
    </row>
    <row r="41" spans="1:51" ht="16.350000000000001" customHeight="1" x14ac:dyDescent="0.3">
      <c r="A41" s="210"/>
      <c r="B41" s="210"/>
      <c r="C41" s="210"/>
      <c r="D41" s="210"/>
      <c r="E41" s="210"/>
      <c r="F41" s="210"/>
      <c r="AI41" s="210"/>
      <c r="AJ41" s="210"/>
      <c r="AK41" s="210"/>
      <c r="AL41" s="210"/>
      <c r="AM41" s="210"/>
      <c r="AN41" s="210"/>
      <c r="AO41" s="210"/>
      <c r="AP41" s="210"/>
      <c r="AQ41" s="210"/>
      <c r="AR41" s="210"/>
      <c r="AS41" s="210"/>
      <c r="AT41" s="210"/>
      <c r="AU41" s="210"/>
      <c r="AV41" s="210"/>
      <c r="AW41" s="210"/>
      <c r="AX41" s="210"/>
      <c r="AY41" s="210"/>
    </row>
    <row r="42" spans="1:51" ht="16.350000000000001" customHeight="1" x14ac:dyDescent="0.3">
      <c r="A42" s="210"/>
      <c r="B42" s="210"/>
      <c r="C42" s="210"/>
      <c r="D42" s="210"/>
      <c r="E42" s="210"/>
      <c r="F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  <c r="AS42" s="210"/>
      <c r="AT42" s="210"/>
      <c r="AU42" s="210"/>
      <c r="AV42" s="210"/>
      <c r="AW42" s="210"/>
      <c r="AX42" s="210"/>
      <c r="AY42" s="210"/>
    </row>
    <row r="43" spans="1:51" ht="16.350000000000001" customHeight="1" x14ac:dyDescent="0.3">
      <c r="A43" s="210"/>
      <c r="B43" s="210"/>
      <c r="C43" s="210"/>
      <c r="D43" s="210"/>
      <c r="E43" s="210"/>
      <c r="F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  <c r="AS43" s="210"/>
      <c r="AT43" s="210"/>
      <c r="AU43" s="210"/>
      <c r="AV43" s="210"/>
      <c r="AW43" s="210"/>
      <c r="AX43" s="210"/>
      <c r="AY43" s="210"/>
    </row>
    <row r="44" spans="1:51" ht="16.350000000000001" customHeight="1" x14ac:dyDescent="0.3">
      <c r="A44" s="210"/>
      <c r="B44" s="210"/>
      <c r="C44" s="210"/>
      <c r="D44" s="210"/>
      <c r="E44" s="210"/>
      <c r="F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  <c r="AS44" s="210"/>
      <c r="AT44" s="210"/>
      <c r="AU44" s="210"/>
      <c r="AV44" s="210"/>
      <c r="AW44" s="210"/>
      <c r="AX44" s="210"/>
      <c r="AY44" s="210"/>
    </row>
    <row r="45" spans="1:51" ht="16.350000000000001" customHeight="1" x14ac:dyDescent="0.3">
      <c r="A45" s="210"/>
      <c r="B45" s="210"/>
      <c r="C45" s="210"/>
      <c r="D45" s="210"/>
      <c r="E45" s="210"/>
      <c r="F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  <c r="AS45" s="210"/>
      <c r="AT45" s="210"/>
      <c r="AU45" s="210"/>
      <c r="AV45" s="210"/>
      <c r="AW45" s="210"/>
      <c r="AX45" s="210"/>
      <c r="AY45" s="210"/>
    </row>
    <row r="46" spans="1:51" ht="16.350000000000001" customHeight="1" x14ac:dyDescent="0.3">
      <c r="A46" s="210"/>
      <c r="B46" s="210"/>
      <c r="C46" s="210"/>
      <c r="D46" s="210"/>
      <c r="E46" s="210"/>
      <c r="F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  <c r="AW46" s="210"/>
      <c r="AX46" s="210"/>
      <c r="AY46" s="210"/>
    </row>
    <row r="47" spans="1:51" ht="16.350000000000001" customHeight="1" x14ac:dyDescent="0.3">
      <c r="A47" s="210"/>
      <c r="B47" s="210"/>
      <c r="C47" s="210"/>
      <c r="D47" s="210"/>
      <c r="E47" s="210"/>
      <c r="F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  <c r="AS47" s="210"/>
      <c r="AT47" s="210"/>
      <c r="AU47" s="210"/>
      <c r="AV47" s="210"/>
      <c r="AW47" s="210"/>
      <c r="AX47" s="210"/>
      <c r="AY47" s="210"/>
    </row>
    <row r="48" spans="1:51" ht="16.350000000000001" customHeight="1" x14ac:dyDescent="0.3">
      <c r="A48" s="210"/>
      <c r="B48" s="210"/>
      <c r="C48" s="210"/>
      <c r="D48" s="210"/>
      <c r="E48" s="210"/>
      <c r="F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  <c r="AS48" s="210"/>
      <c r="AT48" s="210"/>
      <c r="AU48" s="210"/>
      <c r="AV48" s="210"/>
      <c r="AW48" s="210"/>
      <c r="AX48" s="210"/>
      <c r="AY48" s="210"/>
    </row>
    <row r="49" spans="1:51" ht="16.350000000000001" customHeight="1" x14ac:dyDescent="0.3">
      <c r="A49" s="210"/>
      <c r="B49" s="210"/>
      <c r="C49" s="210"/>
      <c r="D49" s="210"/>
      <c r="E49" s="210"/>
      <c r="F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  <c r="AS49" s="210"/>
      <c r="AT49" s="210"/>
      <c r="AU49" s="210"/>
      <c r="AV49" s="210"/>
      <c r="AW49" s="210"/>
      <c r="AX49" s="210"/>
      <c r="AY49" s="210"/>
    </row>
    <row r="50" spans="1:51" ht="16.350000000000001" customHeight="1" x14ac:dyDescent="0.3">
      <c r="A50" s="210"/>
      <c r="B50" s="210"/>
      <c r="C50" s="210"/>
      <c r="D50" s="210"/>
      <c r="E50" s="210"/>
      <c r="F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  <c r="AS50" s="210"/>
      <c r="AT50" s="210"/>
      <c r="AU50" s="210"/>
      <c r="AV50" s="210"/>
      <c r="AW50" s="210"/>
      <c r="AX50" s="210"/>
      <c r="AY50" s="210"/>
    </row>
    <row r="51" spans="1:51" ht="16.350000000000001" customHeight="1" x14ac:dyDescent="0.3">
      <c r="A51" s="210"/>
      <c r="B51" s="210"/>
      <c r="C51" s="210"/>
      <c r="D51" s="210"/>
      <c r="E51" s="210"/>
      <c r="F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  <c r="AS51" s="210"/>
      <c r="AT51" s="210"/>
      <c r="AU51" s="210"/>
      <c r="AV51" s="210"/>
      <c r="AW51" s="210"/>
      <c r="AX51" s="210"/>
      <c r="AY51" s="210"/>
    </row>
    <row r="52" spans="1:51" ht="16.350000000000001" customHeight="1" x14ac:dyDescent="0.3">
      <c r="A52" s="210"/>
      <c r="B52" s="210"/>
      <c r="C52" s="210"/>
      <c r="D52" s="210"/>
      <c r="E52" s="210"/>
      <c r="F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  <c r="AS52" s="210"/>
      <c r="AT52" s="210"/>
      <c r="AU52" s="210"/>
      <c r="AV52" s="210"/>
      <c r="AW52" s="210"/>
      <c r="AX52" s="210"/>
      <c r="AY52" s="210"/>
    </row>
    <row r="53" spans="1:51" ht="16.350000000000001" customHeight="1" x14ac:dyDescent="0.3">
      <c r="A53" s="210"/>
      <c r="B53" s="210"/>
      <c r="C53" s="210"/>
      <c r="D53" s="210"/>
      <c r="E53" s="210"/>
      <c r="F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  <c r="AS53" s="210"/>
      <c r="AT53" s="210"/>
      <c r="AU53" s="210"/>
      <c r="AV53" s="210"/>
      <c r="AW53" s="210"/>
      <c r="AX53" s="210"/>
      <c r="AY53" s="210"/>
    </row>
    <row r="54" spans="1:51" ht="16.350000000000001" customHeight="1" x14ac:dyDescent="0.3">
      <c r="A54" s="210"/>
      <c r="B54" s="210"/>
      <c r="C54" s="210"/>
      <c r="D54" s="210"/>
      <c r="E54" s="210"/>
      <c r="F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  <c r="AS54" s="210"/>
      <c r="AT54" s="210"/>
      <c r="AU54" s="210"/>
      <c r="AV54" s="210"/>
      <c r="AW54" s="210"/>
      <c r="AX54" s="210"/>
      <c r="AY54" s="210"/>
    </row>
    <row r="55" spans="1:51" ht="16.350000000000001" customHeight="1" x14ac:dyDescent="0.3">
      <c r="A55" s="210"/>
      <c r="B55" s="210"/>
      <c r="C55" s="210"/>
      <c r="D55" s="210"/>
      <c r="E55" s="210"/>
      <c r="F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  <c r="AS55" s="210"/>
      <c r="AT55" s="210"/>
      <c r="AU55" s="210"/>
      <c r="AV55" s="210"/>
      <c r="AW55" s="210"/>
      <c r="AX55" s="210"/>
      <c r="AY55" s="210"/>
    </row>
    <row r="56" spans="1:51" ht="16.350000000000001" customHeight="1" x14ac:dyDescent="0.3">
      <c r="A56" s="210"/>
      <c r="B56" s="210"/>
      <c r="C56" s="210"/>
      <c r="D56" s="210"/>
      <c r="E56" s="210"/>
      <c r="F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  <c r="AS56" s="210"/>
      <c r="AT56" s="210"/>
      <c r="AU56" s="210"/>
      <c r="AV56" s="210"/>
      <c r="AW56" s="210"/>
      <c r="AX56" s="210"/>
      <c r="AY56" s="210"/>
    </row>
    <row r="57" spans="1:51" ht="16.350000000000001" customHeight="1" x14ac:dyDescent="0.3">
      <c r="A57" s="210"/>
      <c r="B57" s="210"/>
      <c r="C57" s="210"/>
      <c r="D57" s="210"/>
      <c r="E57" s="210"/>
      <c r="F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  <c r="AS57" s="210"/>
      <c r="AT57" s="210"/>
      <c r="AU57" s="210"/>
      <c r="AV57" s="210"/>
      <c r="AW57" s="210"/>
      <c r="AX57" s="210"/>
      <c r="AY57" s="210"/>
    </row>
    <row r="58" spans="1:51" ht="16.350000000000001" customHeight="1" x14ac:dyDescent="0.3">
      <c r="A58" s="210"/>
      <c r="B58" s="210"/>
      <c r="C58" s="210"/>
      <c r="D58" s="210"/>
      <c r="E58" s="210"/>
      <c r="F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  <c r="AS58" s="210"/>
      <c r="AT58" s="210"/>
      <c r="AU58" s="210"/>
      <c r="AV58" s="210"/>
      <c r="AW58" s="210"/>
      <c r="AX58" s="210"/>
      <c r="AY58" s="210"/>
    </row>
    <row r="59" spans="1:51" ht="16.350000000000001" customHeight="1" x14ac:dyDescent="0.3">
      <c r="A59" s="210"/>
      <c r="B59" s="210"/>
      <c r="C59" s="210"/>
      <c r="D59" s="210"/>
      <c r="E59" s="210"/>
      <c r="F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  <c r="AS59" s="210"/>
      <c r="AT59" s="210"/>
      <c r="AU59" s="210"/>
      <c r="AV59" s="210"/>
      <c r="AW59" s="210"/>
      <c r="AX59" s="210"/>
      <c r="AY59" s="210"/>
    </row>
    <row r="60" spans="1:51" ht="16.350000000000001" customHeight="1" x14ac:dyDescent="0.3">
      <c r="A60" s="210"/>
      <c r="B60" s="210"/>
      <c r="C60" s="210"/>
      <c r="D60" s="210"/>
      <c r="E60" s="210"/>
      <c r="F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  <c r="AS60" s="210"/>
      <c r="AT60" s="210"/>
      <c r="AU60" s="210"/>
      <c r="AV60" s="210"/>
      <c r="AW60" s="210"/>
      <c r="AX60" s="210"/>
      <c r="AY60" s="210"/>
    </row>
    <row r="61" spans="1:51" ht="16.350000000000001" customHeight="1" x14ac:dyDescent="0.3">
      <c r="A61" s="210"/>
      <c r="B61" s="210"/>
      <c r="C61" s="210"/>
      <c r="D61" s="210"/>
      <c r="E61" s="210"/>
      <c r="F61" s="210"/>
      <c r="AI61" s="210"/>
      <c r="AJ61" s="210"/>
      <c r="AK61" s="210"/>
      <c r="AL61" s="210"/>
      <c r="AM61" s="210"/>
      <c r="AN61" s="210"/>
      <c r="AO61" s="210"/>
      <c r="AP61" s="210"/>
      <c r="AQ61" s="210"/>
      <c r="AR61" s="210"/>
      <c r="AS61" s="210"/>
      <c r="AT61" s="210"/>
      <c r="AU61" s="210"/>
      <c r="AV61" s="210"/>
      <c r="AW61" s="210"/>
      <c r="AX61" s="210"/>
      <c r="AY61" s="210"/>
    </row>
    <row r="62" spans="1:51" ht="16.350000000000001" customHeight="1" x14ac:dyDescent="0.3">
      <c r="A62" s="210"/>
      <c r="B62" s="210"/>
      <c r="C62" s="210"/>
      <c r="D62" s="210"/>
      <c r="E62" s="210"/>
      <c r="F62" s="210"/>
      <c r="AI62" s="210"/>
      <c r="AJ62" s="210"/>
      <c r="AK62" s="210"/>
      <c r="AL62" s="210"/>
      <c r="AM62" s="210"/>
      <c r="AN62" s="210"/>
      <c r="AO62" s="210"/>
      <c r="AP62" s="210"/>
      <c r="AQ62" s="210"/>
      <c r="AR62" s="210"/>
      <c r="AS62" s="210"/>
      <c r="AT62" s="210"/>
      <c r="AU62" s="210"/>
      <c r="AV62" s="210"/>
      <c r="AW62" s="210"/>
      <c r="AX62" s="210"/>
      <c r="AY62" s="210"/>
    </row>
    <row r="63" spans="1:51" ht="16.350000000000001" customHeight="1" x14ac:dyDescent="0.3">
      <c r="A63" s="210"/>
      <c r="B63" s="210"/>
      <c r="C63" s="210"/>
      <c r="D63" s="210"/>
      <c r="E63" s="210"/>
      <c r="F63" s="210"/>
      <c r="AI63" s="210"/>
      <c r="AJ63" s="210"/>
      <c r="AK63" s="210"/>
      <c r="AL63" s="210"/>
      <c r="AM63" s="210"/>
      <c r="AN63" s="210"/>
      <c r="AO63" s="210"/>
      <c r="AP63" s="210"/>
      <c r="AQ63" s="210"/>
      <c r="AR63" s="210"/>
      <c r="AS63" s="210"/>
      <c r="AT63" s="210"/>
      <c r="AU63" s="210"/>
      <c r="AV63" s="210"/>
      <c r="AW63" s="210"/>
      <c r="AX63" s="210"/>
      <c r="AY63" s="210"/>
    </row>
    <row r="64" spans="1:51" ht="16.350000000000001" customHeight="1" x14ac:dyDescent="0.3">
      <c r="A64" s="210"/>
      <c r="B64" s="210"/>
      <c r="C64" s="210"/>
      <c r="D64" s="210"/>
      <c r="E64" s="210"/>
      <c r="F64" s="210"/>
      <c r="AI64" s="210"/>
      <c r="AJ64" s="210"/>
      <c r="AK64" s="210"/>
      <c r="AL64" s="210"/>
      <c r="AM64" s="210"/>
      <c r="AN64" s="210"/>
      <c r="AO64" s="210"/>
      <c r="AP64" s="210"/>
      <c r="AQ64" s="210"/>
      <c r="AR64" s="210"/>
      <c r="AS64" s="210"/>
      <c r="AT64" s="210"/>
      <c r="AU64" s="210"/>
      <c r="AV64" s="210"/>
      <c r="AW64" s="210"/>
      <c r="AX64" s="210"/>
      <c r="AY64" s="210"/>
    </row>
    <row r="65" spans="1:51" ht="16.350000000000001" customHeight="1" x14ac:dyDescent="0.3">
      <c r="A65" s="210"/>
      <c r="B65" s="210"/>
      <c r="C65" s="210"/>
      <c r="D65" s="210"/>
      <c r="E65" s="210"/>
      <c r="F65" s="210"/>
      <c r="AI65" s="210"/>
      <c r="AJ65" s="210"/>
      <c r="AK65" s="210"/>
      <c r="AL65" s="210"/>
      <c r="AM65" s="210"/>
      <c r="AN65" s="210"/>
      <c r="AO65" s="210"/>
      <c r="AP65" s="210"/>
      <c r="AQ65" s="210"/>
      <c r="AR65" s="210"/>
      <c r="AS65" s="210"/>
      <c r="AT65" s="210"/>
      <c r="AU65" s="210"/>
      <c r="AV65" s="210"/>
      <c r="AW65" s="210"/>
      <c r="AX65" s="210"/>
      <c r="AY65" s="210"/>
    </row>
    <row r="66" spans="1:51" ht="16.350000000000001" customHeight="1" x14ac:dyDescent="0.3">
      <c r="A66" s="210"/>
      <c r="B66" s="210"/>
      <c r="C66" s="210"/>
      <c r="D66" s="210"/>
      <c r="E66" s="210"/>
      <c r="F66" s="210"/>
      <c r="AI66" s="210"/>
      <c r="AJ66" s="210"/>
      <c r="AK66" s="210"/>
      <c r="AL66" s="210"/>
      <c r="AM66" s="210"/>
      <c r="AN66" s="210"/>
      <c r="AO66" s="210"/>
      <c r="AP66" s="210"/>
      <c r="AQ66" s="210"/>
      <c r="AR66" s="210"/>
      <c r="AS66" s="210"/>
      <c r="AT66" s="210"/>
      <c r="AU66" s="210"/>
      <c r="AV66" s="210"/>
      <c r="AW66" s="210"/>
      <c r="AX66" s="210"/>
      <c r="AY66" s="210"/>
    </row>
    <row r="67" spans="1:51" ht="16.350000000000001" customHeight="1" x14ac:dyDescent="0.3">
      <c r="A67" s="210"/>
      <c r="B67" s="210"/>
      <c r="C67" s="210"/>
      <c r="D67" s="210"/>
      <c r="E67" s="210"/>
      <c r="F67" s="210"/>
      <c r="AI67" s="210"/>
      <c r="AJ67" s="210"/>
      <c r="AK67" s="210"/>
      <c r="AL67" s="210"/>
      <c r="AM67" s="210"/>
      <c r="AN67" s="210"/>
      <c r="AO67" s="210"/>
      <c r="AP67" s="210"/>
      <c r="AQ67" s="210"/>
      <c r="AR67" s="210"/>
      <c r="AS67" s="210"/>
      <c r="AT67" s="210"/>
      <c r="AU67" s="210"/>
      <c r="AV67" s="210"/>
      <c r="AW67" s="210"/>
      <c r="AX67" s="210"/>
      <c r="AY67" s="210"/>
    </row>
    <row r="68" spans="1:51" ht="16.350000000000001" customHeight="1" x14ac:dyDescent="0.3">
      <c r="A68" s="210"/>
      <c r="B68" s="210"/>
      <c r="C68" s="210"/>
      <c r="D68" s="210"/>
      <c r="E68" s="210"/>
      <c r="F68" s="210"/>
      <c r="AI68" s="210"/>
      <c r="AJ68" s="210"/>
      <c r="AK68" s="210"/>
      <c r="AL68" s="210"/>
      <c r="AM68" s="210"/>
      <c r="AN68" s="210"/>
      <c r="AO68" s="210"/>
      <c r="AP68" s="210"/>
      <c r="AQ68" s="210"/>
      <c r="AR68" s="210"/>
      <c r="AS68" s="210"/>
      <c r="AT68" s="210"/>
      <c r="AU68" s="210"/>
      <c r="AV68" s="210"/>
      <c r="AW68" s="210"/>
      <c r="AX68" s="210"/>
      <c r="AY68" s="210"/>
    </row>
    <row r="69" spans="1:51" ht="16.350000000000001" customHeight="1" x14ac:dyDescent="0.3">
      <c r="A69" s="210"/>
      <c r="B69" s="210"/>
      <c r="C69" s="210"/>
      <c r="D69" s="210"/>
      <c r="E69" s="210"/>
      <c r="F69" s="210"/>
      <c r="AI69" s="210"/>
      <c r="AJ69" s="210"/>
      <c r="AK69" s="210"/>
      <c r="AL69" s="210"/>
      <c r="AM69" s="210"/>
      <c r="AN69" s="210"/>
      <c r="AO69" s="210"/>
      <c r="AP69" s="210"/>
      <c r="AQ69" s="210"/>
      <c r="AR69" s="210"/>
      <c r="AS69" s="210"/>
      <c r="AT69" s="210"/>
      <c r="AU69" s="210"/>
      <c r="AV69" s="210"/>
      <c r="AW69" s="210"/>
      <c r="AX69" s="210"/>
      <c r="AY69" s="210"/>
    </row>
    <row r="70" spans="1:51" ht="16.350000000000001" customHeight="1" x14ac:dyDescent="0.3">
      <c r="A70" s="210"/>
      <c r="B70" s="210"/>
      <c r="C70" s="210"/>
      <c r="D70" s="210"/>
      <c r="E70" s="210"/>
      <c r="F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  <c r="AS70" s="210"/>
      <c r="AT70" s="210"/>
      <c r="AU70" s="210"/>
      <c r="AV70" s="210"/>
      <c r="AW70" s="210"/>
      <c r="AX70" s="210"/>
      <c r="AY70" s="210"/>
    </row>
    <row r="71" spans="1:51" ht="16.350000000000001" customHeight="1" x14ac:dyDescent="0.3">
      <c r="A71" s="210"/>
      <c r="B71" s="210"/>
      <c r="C71" s="210"/>
      <c r="D71" s="210"/>
      <c r="E71" s="210"/>
      <c r="F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  <c r="AS71" s="210"/>
      <c r="AT71" s="210"/>
      <c r="AU71" s="210"/>
      <c r="AV71" s="210"/>
      <c r="AW71" s="210"/>
      <c r="AX71" s="210"/>
      <c r="AY71" s="210"/>
    </row>
    <row r="72" spans="1:51" ht="16.350000000000001" customHeight="1" x14ac:dyDescent="0.3">
      <c r="A72" s="210"/>
      <c r="B72" s="210"/>
      <c r="C72" s="210"/>
      <c r="D72" s="210"/>
      <c r="E72" s="210"/>
      <c r="F72" s="210"/>
      <c r="AI72" s="210"/>
      <c r="AJ72" s="210"/>
      <c r="AK72" s="210"/>
      <c r="AL72" s="210"/>
      <c r="AM72" s="210"/>
      <c r="AN72" s="210"/>
      <c r="AO72" s="210"/>
      <c r="AP72" s="210"/>
      <c r="AQ72" s="210"/>
      <c r="AR72" s="210"/>
      <c r="AS72" s="210"/>
      <c r="AT72" s="210"/>
      <c r="AU72" s="210"/>
      <c r="AV72" s="210"/>
      <c r="AW72" s="210"/>
      <c r="AX72" s="210"/>
      <c r="AY72" s="210"/>
    </row>
    <row r="73" spans="1:51" ht="16.350000000000001" customHeight="1" x14ac:dyDescent="0.3">
      <c r="A73" s="210"/>
      <c r="B73" s="210"/>
      <c r="C73" s="210"/>
      <c r="D73" s="210"/>
      <c r="E73" s="210"/>
      <c r="F73" s="210"/>
      <c r="AI73" s="210"/>
      <c r="AJ73" s="210"/>
      <c r="AK73" s="210"/>
      <c r="AL73" s="210"/>
      <c r="AM73" s="210"/>
      <c r="AN73" s="210"/>
      <c r="AO73" s="210"/>
      <c r="AP73" s="210"/>
      <c r="AQ73" s="210"/>
      <c r="AR73" s="210"/>
      <c r="AS73" s="210"/>
      <c r="AT73" s="210"/>
      <c r="AU73" s="210"/>
      <c r="AV73" s="210"/>
      <c r="AW73" s="210"/>
      <c r="AX73" s="210"/>
      <c r="AY73" s="210"/>
    </row>
    <row r="74" spans="1:51" ht="16.350000000000001" customHeight="1" x14ac:dyDescent="0.3">
      <c r="A74" s="210"/>
      <c r="B74" s="210"/>
      <c r="C74" s="210"/>
      <c r="D74" s="210"/>
      <c r="E74" s="210"/>
      <c r="F74" s="210"/>
      <c r="AI74" s="210"/>
      <c r="AJ74" s="210"/>
      <c r="AK74" s="210"/>
      <c r="AL74" s="210"/>
      <c r="AM74" s="210"/>
      <c r="AN74" s="210"/>
      <c r="AO74" s="210"/>
      <c r="AP74" s="210"/>
      <c r="AQ74" s="210"/>
      <c r="AR74" s="210"/>
      <c r="AS74" s="210"/>
      <c r="AT74" s="210"/>
      <c r="AU74" s="210"/>
      <c r="AV74" s="210"/>
      <c r="AW74" s="210"/>
      <c r="AX74" s="210"/>
      <c r="AY74" s="210"/>
    </row>
    <row r="75" spans="1:51" ht="16.350000000000001" customHeight="1" x14ac:dyDescent="0.3">
      <c r="A75" s="210"/>
      <c r="B75" s="210"/>
      <c r="C75" s="210"/>
      <c r="D75" s="210"/>
      <c r="E75" s="210"/>
      <c r="F75" s="210"/>
      <c r="AI75" s="210"/>
      <c r="AJ75" s="210"/>
      <c r="AK75" s="210"/>
      <c r="AL75" s="210"/>
      <c r="AM75" s="210"/>
      <c r="AN75" s="210"/>
      <c r="AO75" s="210"/>
      <c r="AP75" s="210"/>
      <c r="AQ75" s="210"/>
      <c r="AR75" s="210"/>
      <c r="AS75" s="210"/>
      <c r="AT75" s="210"/>
      <c r="AU75" s="210"/>
      <c r="AV75" s="210"/>
      <c r="AW75" s="210"/>
      <c r="AX75" s="210"/>
      <c r="AY75" s="210"/>
    </row>
    <row r="76" spans="1:51" ht="16.350000000000001" customHeight="1" x14ac:dyDescent="0.3">
      <c r="A76" s="210"/>
      <c r="B76" s="210"/>
      <c r="C76" s="210"/>
      <c r="D76" s="210"/>
      <c r="E76" s="210"/>
      <c r="F76" s="210"/>
      <c r="AI76" s="210"/>
      <c r="AJ76" s="210"/>
      <c r="AK76" s="210"/>
      <c r="AL76" s="210"/>
      <c r="AM76" s="210"/>
      <c r="AN76" s="210"/>
      <c r="AO76" s="210"/>
      <c r="AP76" s="210"/>
      <c r="AQ76" s="210"/>
      <c r="AR76" s="210"/>
      <c r="AS76" s="210"/>
      <c r="AT76" s="210"/>
      <c r="AU76" s="210"/>
      <c r="AV76" s="210"/>
      <c r="AW76" s="210"/>
      <c r="AX76" s="210"/>
      <c r="AY76" s="210"/>
    </row>
    <row r="77" spans="1:51" ht="16.350000000000001" customHeight="1" x14ac:dyDescent="0.3">
      <c r="A77" s="210"/>
      <c r="B77" s="210"/>
      <c r="C77" s="210"/>
      <c r="D77" s="210"/>
      <c r="E77" s="210"/>
      <c r="F77" s="210"/>
      <c r="AI77" s="210"/>
      <c r="AJ77" s="210"/>
      <c r="AK77" s="210"/>
      <c r="AL77" s="210"/>
      <c r="AM77" s="210"/>
      <c r="AN77" s="210"/>
      <c r="AO77" s="210"/>
      <c r="AP77" s="210"/>
      <c r="AQ77" s="210"/>
      <c r="AR77" s="210"/>
      <c r="AS77" s="210"/>
      <c r="AT77" s="210"/>
      <c r="AU77" s="210"/>
      <c r="AV77" s="210"/>
      <c r="AW77" s="210"/>
      <c r="AX77" s="210"/>
      <c r="AY77" s="210"/>
    </row>
    <row r="78" spans="1:51" ht="16.350000000000001" customHeight="1" x14ac:dyDescent="0.3">
      <c r="A78" s="210"/>
      <c r="B78" s="210"/>
      <c r="C78" s="210"/>
      <c r="D78" s="210"/>
      <c r="E78" s="210"/>
      <c r="F78" s="210"/>
      <c r="AI78" s="210"/>
      <c r="AJ78" s="210"/>
      <c r="AK78" s="210"/>
      <c r="AL78" s="210"/>
      <c r="AM78" s="210"/>
      <c r="AN78" s="210"/>
      <c r="AO78" s="210"/>
      <c r="AP78" s="210"/>
      <c r="AQ78" s="210"/>
      <c r="AR78" s="210"/>
      <c r="AS78" s="210"/>
      <c r="AT78" s="210"/>
      <c r="AU78" s="210"/>
      <c r="AV78" s="210"/>
      <c r="AW78" s="210"/>
      <c r="AX78" s="210"/>
      <c r="AY78" s="210"/>
    </row>
    <row r="79" spans="1:51" ht="16.350000000000001" customHeight="1" x14ac:dyDescent="0.3">
      <c r="A79" s="210"/>
      <c r="B79" s="210"/>
      <c r="C79" s="210"/>
      <c r="D79" s="210"/>
      <c r="E79" s="210"/>
      <c r="F79" s="210"/>
      <c r="AI79" s="210"/>
      <c r="AJ79" s="210"/>
      <c r="AK79" s="210"/>
      <c r="AL79" s="210"/>
      <c r="AM79" s="210"/>
      <c r="AN79" s="210"/>
      <c r="AO79" s="210"/>
      <c r="AP79" s="210"/>
      <c r="AQ79" s="210"/>
      <c r="AR79" s="210"/>
      <c r="AS79" s="210"/>
      <c r="AT79" s="210"/>
      <c r="AU79" s="210"/>
      <c r="AV79" s="210"/>
      <c r="AW79" s="210"/>
      <c r="AX79" s="210"/>
      <c r="AY79" s="210"/>
    </row>
    <row r="80" spans="1:51" ht="16.350000000000001" customHeight="1" x14ac:dyDescent="0.3">
      <c r="A80" s="210"/>
      <c r="B80" s="210"/>
      <c r="C80" s="210"/>
      <c r="D80" s="210"/>
      <c r="E80" s="210"/>
      <c r="F80" s="210"/>
      <c r="AI80" s="210"/>
      <c r="AJ80" s="210"/>
      <c r="AK80" s="210"/>
      <c r="AL80" s="210"/>
      <c r="AM80" s="210"/>
      <c r="AN80" s="210"/>
      <c r="AO80" s="210"/>
      <c r="AP80" s="210"/>
      <c r="AQ80" s="210"/>
      <c r="AR80" s="210"/>
      <c r="AS80" s="210"/>
      <c r="AT80" s="210"/>
      <c r="AU80" s="210"/>
      <c r="AV80" s="210"/>
      <c r="AW80" s="210"/>
      <c r="AX80" s="210"/>
      <c r="AY80" s="210"/>
    </row>
    <row r="81" spans="1:51" ht="16.350000000000001" customHeight="1" x14ac:dyDescent="0.3">
      <c r="A81" s="210"/>
      <c r="B81" s="210"/>
      <c r="C81" s="210"/>
      <c r="D81" s="210"/>
      <c r="E81" s="210"/>
      <c r="F81" s="210"/>
      <c r="AI81" s="210"/>
      <c r="AJ81" s="210"/>
      <c r="AK81" s="210"/>
      <c r="AL81" s="210"/>
      <c r="AM81" s="210"/>
      <c r="AN81" s="210"/>
      <c r="AO81" s="210"/>
      <c r="AP81" s="210"/>
      <c r="AQ81" s="210"/>
      <c r="AR81" s="210"/>
      <c r="AS81" s="210"/>
      <c r="AT81" s="210"/>
      <c r="AU81" s="210"/>
      <c r="AV81" s="210"/>
      <c r="AW81" s="210"/>
      <c r="AX81" s="210"/>
      <c r="AY81" s="210"/>
    </row>
    <row r="82" spans="1:51" ht="16.350000000000001" customHeight="1" x14ac:dyDescent="0.3">
      <c r="A82" s="210"/>
      <c r="B82" s="210"/>
      <c r="C82" s="210"/>
      <c r="D82" s="210"/>
      <c r="E82" s="210"/>
      <c r="F82" s="210"/>
      <c r="AI82" s="210"/>
      <c r="AJ82" s="210"/>
      <c r="AK82" s="210"/>
      <c r="AL82" s="210"/>
      <c r="AM82" s="210"/>
      <c r="AN82" s="210"/>
      <c r="AO82" s="210"/>
      <c r="AP82" s="210"/>
      <c r="AQ82" s="210"/>
      <c r="AR82" s="210"/>
      <c r="AS82" s="210"/>
      <c r="AT82" s="210"/>
      <c r="AU82" s="210"/>
      <c r="AV82" s="210"/>
      <c r="AW82" s="210"/>
      <c r="AX82" s="210"/>
      <c r="AY82" s="210"/>
    </row>
    <row r="83" spans="1:51" ht="16.350000000000001" customHeight="1" x14ac:dyDescent="0.3">
      <c r="A83" s="210"/>
      <c r="B83" s="210"/>
      <c r="C83" s="210"/>
      <c r="D83" s="210"/>
      <c r="E83" s="210"/>
      <c r="F83" s="210"/>
      <c r="AI83" s="210"/>
      <c r="AJ83" s="210"/>
      <c r="AK83" s="210"/>
      <c r="AL83" s="210"/>
      <c r="AM83" s="210"/>
      <c r="AN83" s="210"/>
      <c r="AO83" s="210"/>
      <c r="AP83" s="210"/>
      <c r="AQ83" s="210"/>
      <c r="AR83" s="210"/>
      <c r="AS83" s="210"/>
      <c r="AT83" s="210"/>
      <c r="AU83" s="210"/>
      <c r="AV83" s="210"/>
      <c r="AW83" s="210"/>
      <c r="AX83" s="210"/>
      <c r="AY83" s="210"/>
    </row>
    <row r="84" spans="1:51" ht="16.350000000000001" customHeight="1" x14ac:dyDescent="0.3">
      <c r="A84" s="210"/>
      <c r="B84" s="210"/>
      <c r="C84" s="210"/>
      <c r="D84" s="210"/>
      <c r="E84" s="210"/>
      <c r="F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</row>
    <row r="85" spans="1:51" ht="16.350000000000001" customHeight="1" x14ac:dyDescent="0.3">
      <c r="A85" s="210"/>
      <c r="B85" s="210"/>
      <c r="C85" s="210"/>
      <c r="D85" s="210"/>
      <c r="E85" s="210"/>
      <c r="F85" s="210"/>
      <c r="AI85" s="210"/>
      <c r="AJ85" s="210"/>
      <c r="AK85" s="210"/>
      <c r="AL85" s="210"/>
      <c r="AM85" s="210"/>
      <c r="AN85" s="210"/>
      <c r="AO85" s="210"/>
      <c r="AP85" s="210"/>
      <c r="AQ85" s="210"/>
      <c r="AR85" s="210"/>
      <c r="AS85" s="210"/>
      <c r="AT85" s="210"/>
      <c r="AU85" s="210"/>
      <c r="AV85" s="210"/>
      <c r="AW85" s="210"/>
      <c r="AX85" s="210"/>
      <c r="AY85" s="210"/>
    </row>
    <row r="86" spans="1:51" ht="16.350000000000001" customHeight="1" x14ac:dyDescent="0.3">
      <c r="A86" s="210"/>
      <c r="B86" s="210"/>
      <c r="C86" s="210"/>
      <c r="D86" s="210"/>
      <c r="E86" s="210"/>
      <c r="F86" s="210"/>
      <c r="AI86" s="210"/>
      <c r="AJ86" s="210"/>
      <c r="AK86" s="210"/>
      <c r="AL86" s="210"/>
      <c r="AM86" s="210"/>
      <c r="AN86" s="210"/>
      <c r="AO86" s="210"/>
      <c r="AP86" s="210"/>
      <c r="AQ86" s="210"/>
      <c r="AR86" s="210"/>
      <c r="AS86" s="210"/>
      <c r="AT86" s="210"/>
      <c r="AU86" s="210"/>
      <c r="AV86" s="210"/>
      <c r="AW86" s="210"/>
      <c r="AX86" s="210"/>
      <c r="AY86" s="210"/>
    </row>
    <row r="87" spans="1:51" ht="16.350000000000001" customHeight="1" x14ac:dyDescent="0.3">
      <c r="A87" s="210"/>
      <c r="B87" s="210"/>
      <c r="C87" s="210"/>
      <c r="D87" s="210"/>
      <c r="E87" s="210"/>
      <c r="F87" s="210"/>
      <c r="AI87" s="210"/>
      <c r="AJ87" s="210"/>
      <c r="AK87" s="210"/>
      <c r="AL87" s="210"/>
      <c r="AM87" s="210"/>
      <c r="AN87" s="210"/>
      <c r="AO87" s="210"/>
      <c r="AP87" s="210"/>
      <c r="AQ87" s="210"/>
      <c r="AR87" s="210"/>
      <c r="AS87" s="210"/>
      <c r="AT87" s="210"/>
      <c r="AU87" s="210"/>
      <c r="AV87" s="210"/>
      <c r="AW87" s="210"/>
      <c r="AX87" s="210"/>
      <c r="AY87" s="210"/>
    </row>
    <row r="88" spans="1:51" ht="16.350000000000001" customHeight="1" x14ac:dyDescent="0.3">
      <c r="A88" s="210"/>
      <c r="B88" s="210"/>
      <c r="C88" s="210"/>
      <c r="D88" s="210"/>
      <c r="E88" s="210"/>
      <c r="F88" s="210"/>
      <c r="AI88" s="210"/>
      <c r="AJ88" s="210"/>
      <c r="AK88" s="210"/>
      <c r="AL88" s="210"/>
      <c r="AM88" s="210"/>
      <c r="AN88" s="210"/>
      <c r="AO88" s="210"/>
      <c r="AP88" s="210"/>
      <c r="AQ88" s="210"/>
      <c r="AR88" s="210"/>
      <c r="AS88" s="210"/>
      <c r="AT88" s="210"/>
      <c r="AU88" s="210"/>
      <c r="AV88" s="210"/>
      <c r="AW88" s="210"/>
      <c r="AX88" s="210"/>
      <c r="AY88" s="210"/>
    </row>
    <row r="89" spans="1:51" ht="16.350000000000001" customHeight="1" x14ac:dyDescent="0.3">
      <c r="A89" s="210"/>
      <c r="B89" s="210"/>
      <c r="C89" s="210"/>
      <c r="D89" s="210"/>
      <c r="E89" s="210"/>
      <c r="F89" s="210"/>
      <c r="AI89" s="210"/>
      <c r="AJ89" s="210"/>
      <c r="AK89" s="210"/>
      <c r="AL89" s="210"/>
      <c r="AM89" s="210"/>
      <c r="AN89" s="210"/>
      <c r="AO89" s="210"/>
      <c r="AP89" s="210"/>
      <c r="AQ89" s="210"/>
      <c r="AR89" s="210"/>
      <c r="AS89" s="210"/>
      <c r="AT89" s="210"/>
      <c r="AU89" s="210"/>
      <c r="AV89" s="210"/>
      <c r="AW89" s="210"/>
      <c r="AX89" s="210"/>
      <c r="AY89" s="210"/>
    </row>
    <row r="90" spans="1:51" ht="16.350000000000001" customHeight="1" x14ac:dyDescent="0.3">
      <c r="A90" s="210"/>
      <c r="B90" s="210"/>
      <c r="C90" s="210"/>
      <c r="D90" s="210"/>
      <c r="E90" s="210"/>
      <c r="F90" s="210"/>
      <c r="AI90" s="210"/>
      <c r="AJ90" s="210"/>
      <c r="AK90" s="210"/>
      <c r="AL90" s="210"/>
      <c r="AM90" s="210"/>
      <c r="AN90" s="210"/>
      <c r="AO90" s="210"/>
      <c r="AP90" s="210"/>
      <c r="AQ90" s="210"/>
      <c r="AR90" s="210"/>
      <c r="AS90" s="210"/>
      <c r="AT90" s="210"/>
      <c r="AU90" s="210"/>
      <c r="AV90" s="210"/>
      <c r="AW90" s="210"/>
      <c r="AX90" s="210"/>
      <c r="AY90" s="210"/>
    </row>
    <row r="91" spans="1:51" ht="16.350000000000001" customHeight="1" x14ac:dyDescent="0.3">
      <c r="A91" s="210"/>
      <c r="B91" s="210"/>
      <c r="C91" s="210"/>
      <c r="D91" s="210"/>
      <c r="E91" s="210"/>
      <c r="F91" s="210"/>
      <c r="AI91" s="210"/>
      <c r="AJ91" s="210"/>
      <c r="AK91" s="210"/>
      <c r="AL91" s="210"/>
      <c r="AM91" s="210"/>
      <c r="AN91" s="210"/>
      <c r="AO91" s="210"/>
      <c r="AP91" s="210"/>
      <c r="AQ91" s="210"/>
      <c r="AR91" s="210"/>
      <c r="AS91" s="210"/>
      <c r="AT91" s="210"/>
      <c r="AU91" s="210"/>
      <c r="AV91" s="210"/>
      <c r="AW91" s="210"/>
      <c r="AX91" s="210"/>
      <c r="AY91" s="210"/>
    </row>
    <row r="92" spans="1:51" ht="16.350000000000001" customHeight="1" x14ac:dyDescent="0.3">
      <c r="A92" s="210"/>
      <c r="B92" s="210"/>
      <c r="C92" s="210"/>
      <c r="D92" s="210"/>
      <c r="E92" s="210"/>
      <c r="F92" s="210"/>
      <c r="AI92" s="210"/>
      <c r="AJ92" s="210"/>
      <c r="AK92" s="210"/>
      <c r="AL92" s="210"/>
      <c r="AM92" s="210"/>
      <c r="AN92" s="210"/>
      <c r="AO92" s="210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</row>
    <row r="93" spans="1:51" ht="16.350000000000001" customHeight="1" x14ac:dyDescent="0.3">
      <c r="A93" s="210"/>
      <c r="B93" s="210"/>
      <c r="C93" s="210"/>
      <c r="D93" s="210"/>
      <c r="E93" s="210"/>
      <c r="F93" s="210"/>
      <c r="AI93" s="210"/>
      <c r="AJ93" s="210"/>
      <c r="AK93" s="210"/>
      <c r="AL93" s="210"/>
      <c r="AM93" s="210"/>
      <c r="AN93" s="210"/>
      <c r="AO93" s="210"/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</row>
    <row r="94" spans="1:51" ht="16.350000000000001" customHeight="1" x14ac:dyDescent="0.3">
      <c r="A94" s="210"/>
      <c r="B94" s="210"/>
      <c r="C94" s="210"/>
      <c r="D94" s="210"/>
      <c r="E94" s="210"/>
      <c r="F94" s="210"/>
      <c r="AI94" s="210"/>
      <c r="AJ94" s="210"/>
      <c r="AK94" s="210"/>
      <c r="AL94" s="210"/>
      <c r="AM94" s="210"/>
      <c r="AN94" s="210"/>
      <c r="AO94" s="210"/>
      <c r="AP94" s="210"/>
      <c r="AQ94" s="210"/>
      <c r="AR94" s="210"/>
      <c r="AS94" s="210"/>
      <c r="AT94" s="210"/>
      <c r="AU94" s="210"/>
      <c r="AV94" s="210"/>
      <c r="AW94" s="210"/>
      <c r="AX94" s="210"/>
      <c r="AY94" s="210"/>
    </row>
    <row r="95" spans="1:51" ht="16.350000000000001" customHeight="1" x14ac:dyDescent="0.3">
      <c r="A95" s="210"/>
      <c r="B95" s="210"/>
      <c r="C95" s="210"/>
      <c r="D95" s="210"/>
      <c r="E95" s="210"/>
      <c r="F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</row>
    <row r="96" spans="1:51" ht="16.350000000000001" customHeight="1" x14ac:dyDescent="0.3">
      <c r="A96" s="210"/>
      <c r="B96" s="210"/>
      <c r="C96" s="210"/>
      <c r="D96" s="210"/>
      <c r="E96" s="210"/>
      <c r="F96" s="210"/>
      <c r="AI96" s="210"/>
      <c r="AJ96" s="210"/>
      <c r="AK96" s="210"/>
      <c r="AL96" s="210"/>
      <c r="AM96" s="210"/>
      <c r="AN96" s="210"/>
      <c r="AO96" s="210"/>
      <c r="AP96" s="210"/>
      <c r="AQ96" s="210"/>
      <c r="AR96" s="210"/>
      <c r="AS96" s="210"/>
      <c r="AT96" s="210"/>
      <c r="AU96" s="210"/>
      <c r="AV96" s="210"/>
      <c r="AW96" s="210"/>
      <c r="AX96" s="210"/>
      <c r="AY96" s="210"/>
    </row>
    <row r="97" spans="1:51" ht="16.350000000000001" customHeight="1" x14ac:dyDescent="0.3">
      <c r="A97" s="210"/>
      <c r="B97" s="210"/>
      <c r="C97" s="210"/>
      <c r="D97" s="210"/>
      <c r="E97" s="210"/>
      <c r="F97" s="210"/>
      <c r="AI97" s="210"/>
      <c r="AJ97" s="210"/>
      <c r="AK97" s="210"/>
      <c r="AL97" s="210"/>
      <c r="AM97" s="210"/>
      <c r="AN97" s="210"/>
      <c r="AO97" s="210"/>
      <c r="AP97" s="210"/>
      <c r="AQ97" s="210"/>
      <c r="AR97" s="210"/>
      <c r="AS97" s="210"/>
      <c r="AT97" s="210"/>
      <c r="AU97" s="210"/>
      <c r="AV97" s="210"/>
      <c r="AW97" s="210"/>
      <c r="AX97" s="210"/>
      <c r="AY97" s="210"/>
    </row>
    <row r="98" spans="1:51" ht="16.350000000000001" customHeight="1" x14ac:dyDescent="0.3">
      <c r="A98" s="210"/>
      <c r="B98" s="210"/>
      <c r="C98" s="210"/>
      <c r="D98" s="210"/>
      <c r="E98" s="210"/>
      <c r="F98" s="210"/>
      <c r="AI98" s="210"/>
      <c r="AJ98" s="210"/>
      <c r="AK98" s="210"/>
      <c r="AL98" s="210"/>
      <c r="AM98" s="210"/>
      <c r="AN98" s="210"/>
      <c r="AO98" s="210"/>
      <c r="AP98" s="210"/>
      <c r="AQ98" s="210"/>
      <c r="AR98" s="210"/>
      <c r="AS98" s="210"/>
      <c r="AT98" s="210"/>
      <c r="AU98" s="210"/>
      <c r="AV98" s="210"/>
      <c r="AW98" s="210"/>
      <c r="AX98" s="210"/>
      <c r="AY98" s="210"/>
    </row>
    <row r="99" spans="1:51" ht="16.350000000000001" customHeight="1" x14ac:dyDescent="0.3">
      <c r="A99" s="210"/>
      <c r="B99" s="210"/>
      <c r="C99" s="210"/>
      <c r="D99" s="210"/>
      <c r="E99" s="210"/>
      <c r="F99" s="210"/>
      <c r="AI99" s="210"/>
      <c r="AJ99" s="210"/>
      <c r="AK99" s="210"/>
      <c r="AL99" s="210"/>
      <c r="AM99" s="210"/>
      <c r="AN99" s="210"/>
      <c r="AO99" s="210"/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</row>
    <row r="100" spans="1:51" ht="16.350000000000001" customHeight="1" x14ac:dyDescent="0.3">
      <c r="A100" s="210"/>
      <c r="B100" s="210"/>
      <c r="C100" s="210"/>
      <c r="D100" s="210"/>
      <c r="E100" s="210"/>
      <c r="F100" s="210"/>
      <c r="AI100" s="210"/>
      <c r="AJ100" s="210"/>
      <c r="AK100" s="210"/>
      <c r="AL100" s="210"/>
      <c r="AM100" s="210"/>
      <c r="AN100" s="210"/>
      <c r="AO100" s="210"/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</row>
    <row r="101" spans="1:51" ht="16.350000000000001" customHeight="1" x14ac:dyDescent="0.3">
      <c r="A101" s="210"/>
      <c r="B101" s="210"/>
      <c r="C101" s="210"/>
      <c r="D101" s="210"/>
      <c r="E101" s="210"/>
      <c r="F101" s="210"/>
      <c r="AI101" s="210"/>
      <c r="AJ101" s="210"/>
      <c r="AK101" s="210"/>
      <c r="AL101" s="210"/>
      <c r="AM101" s="210"/>
      <c r="AN101" s="210"/>
      <c r="AO101" s="210"/>
      <c r="AP101" s="210"/>
      <c r="AQ101" s="210"/>
      <c r="AR101" s="210"/>
      <c r="AS101" s="210"/>
      <c r="AT101" s="210"/>
      <c r="AU101" s="210"/>
      <c r="AV101" s="210"/>
      <c r="AW101" s="210"/>
      <c r="AX101" s="210"/>
      <c r="AY101" s="210"/>
    </row>
    <row r="102" spans="1:51" ht="16.350000000000001" customHeight="1" x14ac:dyDescent="0.3">
      <c r="A102" s="210"/>
      <c r="B102" s="210"/>
      <c r="C102" s="210"/>
      <c r="D102" s="210"/>
      <c r="E102" s="210"/>
      <c r="F102" s="210"/>
      <c r="AI102" s="210"/>
      <c r="AJ102" s="210"/>
      <c r="AK102" s="210"/>
      <c r="AL102" s="210"/>
      <c r="AM102" s="210"/>
      <c r="AN102" s="210"/>
      <c r="AO102" s="210"/>
      <c r="AP102" s="210"/>
      <c r="AQ102" s="210"/>
      <c r="AR102" s="210"/>
      <c r="AS102" s="210"/>
      <c r="AT102" s="210"/>
      <c r="AU102" s="210"/>
      <c r="AV102" s="210"/>
      <c r="AW102" s="210"/>
      <c r="AX102" s="210"/>
      <c r="AY102" s="210"/>
    </row>
    <row r="103" spans="1:51" ht="16.350000000000001" customHeight="1" x14ac:dyDescent="0.3">
      <c r="A103" s="210"/>
      <c r="B103" s="210"/>
      <c r="C103" s="210"/>
      <c r="D103" s="210"/>
      <c r="E103" s="210"/>
      <c r="F103" s="210"/>
      <c r="AI103" s="210"/>
      <c r="AJ103" s="210"/>
      <c r="AK103" s="210"/>
      <c r="AL103" s="210"/>
      <c r="AM103" s="210"/>
      <c r="AN103" s="210"/>
      <c r="AO103" s="210"/>
      <c r="AP103" s="210"/>
      <c r="AQ103" s="210"/>
      <c r="AR103" s="210"/>
      <c r="AS103" s="210"/>
      <c r="AT103" s="210"/>
      <c r="AU103" s="210"/>
      <c r="AV103" s="210"/>
      <c r="AW103" s="210"/>
      <c r="AX103" s="210"/>
      <c r="AY103" s="210"/>
    </row>
    <row r="104" spans="1:51" ht="16.350000000000001" customHeight="1" x14ac:dyDescent="0.3">
      <c r="A104" s="210"/>
      <c r="B104" s="210"/>
      <c r="C104" s="210"/>
      <c r="D104" s="210"/>
      <c r="E104" s="210"/>
      <c r="F104" s="210"/>
      <c r="AI104" s="210"/>
      <c r="AJ104" s="210"/>
      <c r="AK104" s="210"/>
      <c r="AL104" s="210"/>
      <c r="AM104" s="210"/>
      <c r="AN104" s="210"/>
      <c r="AO104" s="210"/>
      <c r="AP104" s="210"/>
      <c r="AQ104" s="210"/>
      <c r="AR104" s="210"/>
      <c r="AS104" s="210"/>
      <c r="AT104" s="210"/>
      <c r="AU104" s="210"/>
      <c r="AV104" s="210"/>
      <c r="AW104" s="210"/>
      <c r="AX104" s="210"/>
      <c r="AY104" s="210"/>
    </row>
    <row r="105" spans="1:51" ht="16.350000000000001" customHeight="1" x14ac:dyDescent="0.3">
      <c r="A105" s="210"/>
      <c r="B105" s="210"/>
      <c r="C105" s="210"/>
      <c r="D105" s="210"/>
      <c r="E105" s="210"/>
      <c r="F105" s="210"/>
      <c r="AI105" s="210"/>
      <c r="AJ105" s="210"/>
      <c r="AK105" s="210"/>
      <c r="AL105" s="210"/>
      <c r="AM105" s="210"/>
      <c r="AN105" s="210"/>
      <c r="AO105" s="210"/>
      <c r="AP105" s="210"/>
      <c r="AQ105" s="210"/>
      <c r="AR105" s="210"/>
      <c r="AS105" s="210"/>
      <c r="AT105" s="210"/>
      <c r="AU105" s="210"/>
      <c r="AV105" s="210"/>
      <c r="AW105" s="210"/>
      <c r="AX105" s="210"/>
      <c r="AY105" s="210"/>
    </row>
    <row r="106" spans="1:51" ht="16.350000000000001" customHeight="1" x14ac:dyDescent="0.3">
      <c r="A106" s="210"/>
      <c r="B106" s="210"/>
      <c r="C106" s="210"/>
      <c r="D106" s="210"/>
      <c r="E106" s="210"/>
      <c r="F106" s="210"/>
      <c r="AI106" s="210"/>
      <c r="AJ106" s="210"/>
      <c r="AK106" s="210"/>
      <c r="AL106" s="210"/>
      <c r="AM106" s="210"/>
      <c r="AN106" s="210"/>
      <c r="AO106" s="210"/>
      <c r="AP106" s="210"/>
      <c r="AQ106" s="210"/>
      <c r="AR106" s="210"/>
      <c r="AS106" s="210"/>
      <c r="AT106" s="210"/>
      <c r="AU106" s="210"/>
      <c r="AV106" s="210"/>
      <c r="AW106" s="210"/>
      <c r="AX106" s="210"/>
      <c r="AY106" s="210"/>
    </row>
    <row r="107" spans="1:51" ht="16.350000000000001" customHeight="1" x14ac:dyDescent="0.3">
      <c r="A107" s="210"/>
      <c r="B107" s="210"/>
      <c r="C107" s="210"/>
      <c r="D107" s="210"/>
      <c r="E107" s="210"/>
      <c r="F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</row>
    <row r="108" spans="1:51" ht="16.350000000000001" customHeight="1" x14ac:dyDescent="0.3">
      <c r="A108" s="210"/>
      <c r="B108" s="210"/>
      <c r="C108" s="210"/>
      <c r="D108" s="210"/>
      <c r="E108" s="210"/>
      <c r="F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</row>
    <row r="109" spans="1:51" ht="16.350000000000001" customHeight="1" x14ac:dyDescent="0.3">
      <c r="A109" s="210"/>
      <c r="B109" s="210"/>
      <c r="C109" s="210"/>
      <c r="D109" s="210"/>
      <c r="E109" s="210"/>
      <c r="F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</row>
    <row r="110" spans="1:51" ht="16.350000000000001" customHeight="1" x14ac:dyDescent="0.3">
      <c r="A110" s="210"/>
      <c r="B110" s="210"/>
      <c r="C110" s="210"/>
      <c r="D110" s="210"/>
      <c r="E110" s="210"/>
      <c r="F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</row>
    <row r="111" spans="1:51" ht="16.350000000000001" customHeight="1" x14ac:dyDescent="0.3">
      <c r="A111" s="210"/>
      <c r="B111" s="210"/>
      <c r="C111" s="210"/>
      <c r="D111" s="210"/>
      <c r="E111" s="210"/>
      <c r="F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</row>
    <row r="112" spans="1:51" ht="16.350000000000001" customHeight="1" x14ac:dyDescent="0.3">
      <c r="A112" s="210"/>
      <c r="B112" s="210"/>
      <c r="C112" s="210"/>
      <c r="D112" s="210"/>
      <c r="E112" s="210"/>
      <c r="F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</row>
  </sheetData>
  <sheetProtection algorithmName="SHA-512" hashValue="zNWBOcWyOL/qkN9qZUte3ERClq0qjOpTKOTlaqZulhIarB0ItGVpA6CUk+nhhV7WejPek+XosuMzwZz0uASnJg==" saltValue="dDMY8vv7J8+d+WBj69uo1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93467-3EB9-44B5-A620-516D3553C9A8}">
  <sheetPr codeName="GRT"/>
  <dimension ref="A1:T2"/>
  <sheetViews>
    <sheetView workbookViewId="0"/>
  </sheetViews>
  <sheetFormatPr defaultRowHeight="14.4" x14ac:dyDescent="0.3"/>
  <sheetData>
    <row r="1" spans="1:20" x14ac:dyDescent="0.3">
      <c r="A1" s="51" t="s">
        <v>160</v>
      </c>
      <c r="B1" s="51" t="s">
        <v>54</v>
      </c>
      <c r="C1" s="51" t="s">
        <v>164</v>
      </c>
      <c r="D1" s="51" t="s">
        <v>166</v>
      </c>
      <c r="E1" s="51"/>
      <c r="F1" s="51"/>
      <c r="G1" s="51"/>
      <c r="H1" s="51"/>
      <c r="I1" s="51"/>
      <c r="J1" s="51"/>
      <c r="K1" s="52" t="s">
        <v>161</v>
      </c>
      <c r="L1" s="52" t="s">
        <v>162</v>
      </c>
      <c r="M1" s="53" t="s">
        <v>101</v>
      </c>
      <c r="N1" s="53" t="s">
        <v>100</v>
      </c>
      <c r="O1" s="53" t="s">
        <v>99</v>
      </c>
      <c r="P1" s="53" t="s">
        <v>98</v>
      </c>
      <c r="Q1" s="53" t="s">
        <v>97</v>
      </c>
      <c r="R1" s="53" t="s">
        <v>96</v>
      </c>
      <c r="S1" s="53" t="s">
        <v>95</v>
      </c>
      <c r="T1" s="54" t="s">
        <v>155</v>
      </c>
    </row>
    <row r="2" spans="1:20" x14ac:dyDescent="0.3">
      <c r="A2" s="55" t="s">
        <v>163</v>
      </c>
      <c r="B2" s="55"/>
      <c r="C2" s="55" t="b">
        <v>0</v>
      </c>
      <c r="D2" s="55"/>
      <c r="E2" s="143" t="s">
        <v>165</v>
      </c>
      <c r="F2" s="55"/>
      <c r="G2" s="55"/>
      <c r="H2" s="55"/>
      <c r="I2" s="55"/>
      <c r="J2" s="55"/>
      <c r="K2" s="56">
        <v>0.375</v>
      </c>
      <c r="L2" s="56">
        <v>0.75</v>
      </c>
      <c r="M2" s="55">
        <v>0</v>
      </c>
      <c r="N2" s="55">
        <v>1</v>
      </c>
      <c r="O2" s="55">
        <v>1</v>
      </c>
      <c r="P2" s="55">
        <v>1</v>
      </c>
      <c r="Q2" s="55">
        <v>1</v>
      </c>
      <c r="R2" s="55">
        <v>1</v>
      </c>
      <c r="S2" s="55">
        <v>0</v>
      </c>
      <c r="T2" s="57"/>
    </row>
  </sheetData>
  <sheetProtection formatCells="0" formatColumns="0" formatRows="0" insertHyperlinks="0" autoFilter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B97B-BAC1-45D5-BFC9-68D361DD0A14}">
  <sheetPr codeName="GST"/>
  <dimension ref="A1:LT10"/>
  <sheetViews>
    <sheetView workbookViewId="0"/>
  </sheetViews>
  <sheetFormatPr defaultColWidth="9.109375" defaultRowHeight="14.4" x14ac:dyDescent="0.3"/>
  <cols>
    <col min="1" max="1" width="9.109375" style="103"/>
    <col min="2" max="2" width="9.109375" style="151"/>
    <col min="3" max="61" width="9.109375" style="103"/>
    <col min="62" max="62" width="9.109375" style="112"/>
    <col min="63" max="68" width="9.109375" style="115"/>
    <col min="69" max="99" width="9.109375" style="103"/>
    <col min="100" max="100" width="9.109375" style="117"/>
    <col min="101" max="310" width="9.109375" style="103"/>
    <col min="311" max="322" width="9.109375" style="117"/>
    <col min="323" max="16384" width="9.109375" style="103"/>
  </cols>
  <sheetData>
    <row r="1" spans="1:332" x14ac:dyDescent="0.3">
      <c r="A1" s="60" t="s">
        <v>221</v>
      </c>
      <c r="B1" s="60" t="s">
        <v>236</v>
      </c>
      <c r="C1" s="58" t="s">
        <v>89</v>
      </c>
      <c r="D1" s="58" t="s">
        <v>132</v>
      </c>
      <c r="E1" s="58" t="s">
        <v>92</v>
      </c>
      <c r="F1" s="58" t="s">
        <v>107</v>
      </c>
      <c r="G1" s="58" t="s">
        <v>7</v>
      </c>
      <c r="H1" s="58" t="s">
        <v>9</v>
      </c>
      <c r="I1" s="58" t="s">
        <v>109</v>
      </c>
      <c r="J1" s="58" t="s">
        <v>108</v>
      </c>
      <c r="K1" s="58" t="s">
        <v>146</v>
      </c>
      <c r="L1" s="58" t="s">
        <v>138</v>
      </c>
      <c r="M1" s="58" t="s">
        <v>139</v>
      </c>
      <c r="N1" s="58" t="s">
        <v>105</v>
      </c>
      <c r="O1" s="58" t="s">
        <v>104</v>
      </c>
      <c r="P1" s="58" t="s">
        <v>103</v>
      </c>
      <c r="Q1" s="58" t="s">
        <v>102</v>
      </c>
      <c r="R1" s="58" t="s">
        <v>207</v>
      </c>
      <c r="S1" s="58" t="s">
        <v>208</v>
      </c>
      <c r="T1" s="58" t="s">
        <v>209</v>
      </c>
      <c r="U1" s="58" t="s">
        <v>210</v>
      </c>
      <c r="V1" s="58" t="s">
        <v>211</v>
      </c>
      <c r="W1" s="58" t="s">
        <v>88</v>
      </c>
      <c r="X1" s="58" t="s">
        <v>87</v>
      </c>
      <c r="Y1" s="58" t="s">
        <v>90</v>
      </c>
      <c r="Z1" s="58" t="s">
        <v>224</v>
      </c>
      <c r="AA1" s="58" t="s">
        <v>106</v>
      </c>
      <c r="AB1" s="58" t="s">
        <v>94</v>
      </c>
      <c r="AC1" s="58" t="s">
        <v>83</v>
      </c>
      <c r="AD1" s="58" t="s">
        <v>82</v>
      </c>
      <c r="AE1" s="58" t="s">
        <v>81</v>
      </c>
      <c r="AF1" s="58" t="s">
        <v>80</v>
      </c>
      <c r="AG1" s="58" t="s">
        <v>79</v>
      </c>
      <c r="AH1" s="58" t="s">
        <v>78</v>
      </c>
      <c r="AI1" s="58" t="s">
        <v>77</v>
      </c>
      <c r="AJ1" s="58" t="s">
        <v>141</v>
      </c>
      <c r="AK1" s="58" t="s">
        <v>142</v>
      </c>
      <c r="AL1" s="58" t="s">
        <v>234</v>
      </c>
      <c r="AM1" s="60" t="s">
        <v>167</v>
      </c>
      <c r="AN1" s="60" t="s">
        <v>168</v>
      </c>
      <c r="AO1" s="60" t="s">
        <v>169</v>
      </c>
      <c r="AP1" s="60" t="s">
        <v>170</v>
      </c>
      <c r="AQ1" s="60" t="s">
        <v>171</v>
      </c>
      <c r="AR1" s="60" t="s">
        <v>172</v>
      </c>
      <c r="AS1" s="60" t="s">
        <v>173</v>
      </c>
      <c r="AT1" s="60" t="s">
        <v>174</v>
      </c>
      <c r="AU1" s="60" t="s">
        <v>185</v>
      </c>
      <c r="AV1" s="60" t="s">
        <v>175</v>
      </c>
      <c r="AW1" s="60" t="s">
        <v>176</v>
      </c>
      <c r="AX1" s="60" t="s">
        <v>203</v>
      </c>
      <c r="AY1" s="60" t="s">
        <v>177</v>
      </c>
      <c r="AZ1" s="60" t="s">
        <v>178</v>
      </c>
      <c r="BA1" s="60" t="s">
        <v>179</v>
      </c>
      <c r="BB1" s="60" t="s">
        <v>180</v>
      </c>
      <c r="BC1" s="60" t="s">
        <v>212</v>
      </c>
      <c r="BD1" s="60" t="s">
        <v>213</v>
      </c>
      <c r="BE1" s="60" t="s">
        <v>181</v>
      </c>
      <c r="BF1" s="60" t="s">
        <v>201</v>
      </c>
      <c r="BG1" s="60" t="s">
        <v>182</v>
      </c>
      <c r="BH1" s="60" t="s">
        <v>183</v>
      </c>
      <c r="BI1" s="60" t="s">
        <v>184</v>
      </c>
      <c r="BJ1" s="60" t="s">
        <v>225</v>
      </c>
      <c r="BK1" s="60" t="s">
        <v>228</v>
      </c>
      <c r="BL1" s="60" t="s">
        <v>229</v>
      </c>
      <c r="BM1" s="60" t="s">
        <v>230</v>
      </c>
      <c r="BN1" s="60" t="s">
        <v>231</v>
      </c>
      <c r="BO1" s="60" t="s">
        <v>232</v>
      </c>
      <c r="BP1" s="60" t="s">
        <v>233</v>
      </c>
      <c r="BQ1" s="60" t="s">
        <v>186</v>
      </c>
      <c r="BR1" s="58" t="s">
        <v>187</v>
      </c>
      <c r="BS1" s="58" t="s">
        <v>188</v>
      </c>
      <c r="BT1" s="58" t="s">
        <v>189</v>
      </c>
      <c r="BU1" s="58" t="s">
        <v>190</v>
      </c>
      <c r="BV1" s="58" t="s">
        <v>191</v>
      </c>
      <c r="BW1" s="58" t="s">
        <v>192</v>
      </c>
      <c r="BX1" s="58" t="s">
        <v>193</v>
      </c>
      <c r="BY1" s="58" t="s">
        <v>194</v>
      </c>
      <c r="BZ1" s="58" t="s">
        <v>195</v>
      </c>
      <c r="CA1" s="58" t="s">
        <v>196</v>
      </c>
      <c r="CB1" s="58" t="s">
        <v>197</v>
      </c>
      <c r="CC1" s="58" t="s">
        <v>199</v>
      </c>
      <c r="CD1" s="58" t="s">
        <v>198</v>
      </c>
      <c r="CE1" s="58" t="s">
        <v>202</v>
      </c>
      <c r="CF1" s="58" t="s">
        <v>204</v>
      </c>
      <c r="CG1" s="58" t="s">
        <v>205</v>
      </c>
      <c r="CH1" s="58" t="s">
        <v>206</v>
      </c>
      <c r="CI1" s="58" t="s">
        <v>196</v>
      </c>
      <c r="CJ1" s="58" t="s">
        <v>197</v>
      </c>
      <c r="CK1" s="58" t="s">
        <v>199</v>
      </c>
      <c r="CL1" s="58" t="s">
        <v>198</v>
      </c>
      <c r="CM1" s="58" t="s">
        <v>202</v>
      </c>
      <c r="CN1" s="58" t="s">
        <v>204</v>
      </c>
      <c r="CO1" s="58" t="s">
        <v>205</v>
      </c>
      <c r="CP1" s="58" t="s">
        <v>206</v>
      </c>
      <c r="CQ1" s="61" t="s">
        <v>222</v>
      </c>
      <c r="CR1" s="61" t="s">
        <v>217</v>
      </c>
      <c r="CS1" s="61" t="s">
        <v>223</v>
      </c>
      <c r="CT1" s="61" t="s">
        <v>220</v>
      </c>
      <c r="CU1" s="61" t="s">
        <v>219</v>
      </c>
      <c r="CV1" s="61" t="s">
        <v>239</v>
      </c>
      <c r="LL1" s="61" t="s">
        <v>93</v>
      </c>
      <c r="LM1" s="61" t="s">
        <v>91</v>
      </c>
      <c r="LN1" s="61" t="s">
        <v>86</v>
      </c>
      <c r="LO1" s="61" t="s">
        <v>85</v>
      </c>
      <c r="LP1" s="61" t="s">
        <v>84</v>
      </c>
      <c r="LQ1" s="61" t="s">
        <v>124</v>
      </c>
      <c r="LR1" s="61" t="s">
        <v>131</v>
      </c>
      <c r="LS1" s="61" t="s">
        <v>147</v>
      </c>
      <c r="LT1" s="61"/>
    </row>
    <row r="2" spans="1:332" x14ac:dyDescent="0.3">
      <c r="A2" s="59" t="s">
        <v>200</v>
      </c>
      <c r="B2" s="59">
        <v>1</v>
      </c>
      <c r="C2" s="58" t="s">
        <v>74</v>
      </c>
      <c r="D2" s="58" t="s">
        <v>133</v>
      </c>
      <c r="E2" s="58" t="b">
        <v>1</v>
      </c>
      <c r="F2" s="62" t="s">
        <v>11</v>
      </c>
      <c r="G2" s="63">
        <v>20000</v>
      </c>
      <c r="H2" s="63">
        <v>10000</v>
      </c>
      <c r="I2" s="62"/>
      <c r="J2" s="62">
        <v>0</v>
      </c>
      <c r="K2" s="62" t="b">
        <v>0</v>
      </c>
      <c r="L2" s="62" t="b">
        <v>1</v>
      </c>
      <c r="M2" s="62" t="b">
        <v>1</v>
      </c>
      <c r="N2" s="62">
        <v>1</v>
      </c>
      <c r="O2" s="62">
        <v>1</v>
      </c>
      <c r="P2" s="62">
        <v>1</v>
      </c>
      <c r="Q2" s="62">
        <v>1</v>
      </c>
      <c r="R2" s="62" t="b">
        <v>1</v>
      </c>
      <c r="S2" s="62" t="b">
        <v>1</v>
      </c>
      <c r="T2" s="62" t="b">
        <v>1</v>
      </c>
      <c r="U2" s="62" t="b">
        <v>1</v>
      </c>
      <c r="V2" s="62" t="b">
        <v>1</v>
      </c>
      <c r="W2" s="58" t="b">
        <v>1</v>
      </c>
      <c r="X2" s="58" t="b">
        <v>0</v>
      </c>
      <c r="Y2" s="58">
        <v>0</v>
      </c>
      <c r="Z2" s="62">
        <v>1</v>
      </c>
      <c r="AA2" s="62" t="s">
        <v>75</v>
      </c>
      <c r="AB2" s="62">
        <v>1</v>
      </c>
      <c r="AC2" s="58" t="b">
        <v>0</v>
      </c>
      <c r="AD2" s="58">
        <v>20</v>
      </c>
      <c r="AE2" s="102" t="s">
        <v>215</v>
      </c>
      <c r="AF2" s="58" t="s">
        <v>43</v>
      </c>
      <c r="AG2" s="58" t="b">
        <v>1</v>
      </c>
      <c r="AH2" s="58" t="b">
        <v>0</v>
      </c>
      <c r="AI2" s="58" t="b">
        <v>0</v>
      </c>
      <c r="AJ2" s="58" t="s">
        <v>143</v>
      </c>
      <c r="AK2" s="58" t="s">
        <v>144</v>
      </c>
      <c r="AL2" s="58"/>
      <c r="AM2" s="174" t="s">
        <v>152</v>
      </c>
      <c r="AN2" s="174" t="s">
        <v>151</v>
      </c>
      <c r="AO2" s="65"/>
      <c r="AP2" s="176"/>
      <c r="AQ2" s="66"/>
      <c r="AR2" s="67"/>
      <c r="AS2" s="68"/>
      <c r="AT2" s="69"/>
      <c r="AU2" s="70"/>
      <c r="AV2" s="175"/>
      <c r="AW2" s="71"/>
      <c r="AX2" s="71"/>
      <c r="AY2" s="175"/>
      <c r="AZ2" s="108"/>
      <c r="BA2" s="177"/>
      <c r="BB2" s="179"/>
      <c r="BC2" s="178"/>
      <c r="BD2" s="179"/>
      <c r="BE2" s="109"/>
      <c r="BF2" s="83"/>
      <c r="BG2" s="74"/>
      <c r="BH2" s="108"/>
      <c r="BI2" s="75"/>
      <c r="BJ2" s="113"/>
      <c r="BK2" s="69"/>
      <c r="BL2" s="181"/>
      <c r="BM2" s="183"/>
      <c r="BN2" s="85"/>
      <c r="BO2" s="116"/>
      <c r="BP2" s="109"/>
      <c r="BQ2" s="59">
        <v>56</v>
      </c>
      <c r="BR2" s="76">
        <v>35</v>
      </c>
      <c r="BS2" s="58">
        <v>6</v>
      </c>
      <c r="BT2" s="58">
        <v>2</v>
      </c>
      <c r="BU2" s="58">
        <v>2</v>
      </c>
      <c r="BV2" s="58">
        <v>3</v>
      </c>
      <c r="BW2" s="58">
        <v>2</v>
      </c>
      <c r="BX2" s="58">
        <v>3</v>
      </c>
      <c r="BY2" s="58">
        <v>2.5</v>
      </c>
      <c r="BZ2" s="58">
        <v>6</v>
      </c>
      <c r="CA2" s="58">
        <v>8</v>
      </c>
      <c r="CB2" s="58">
        <v>10</v>
      </c>
      <c r="CC2" s="58">
        <v>12</v>
      </c>
      <c r="CD2" s="58">
        <v>15</v>
      </c>
      <c r="CE2" s="58" t="b">
        <v>1</v>
      </c>
      <c r="CF2" s="62" t="b">
        <v>1</v>
      </c>
      <c r="CG2" s="64">
        <v>43647</v>
      </c>
      <c r="CH2" s="64">
        <v>43679</v>
      </c>
      <c r="CI2" s="58">
        <v>6</v>
      </c>
      <c r="CJ2" s="58">
        <v>10</v>
      </c>
      <c r="CK2" s="58">
        <v>12</v>
      </c>
      <c r="CL2" s="58">
        <v>15</v>
      </c>
      <c r="CM2" s="58" t="b">
        <v>1</v>
      </c>
      <c r="CN2" s="62" t="b">
        <v>1</v>
      </c>
      <c r="CO2" s="64">
        <v>43617</v>
      </c>
      <c r="CP2" s="64">
        <v>43672</v>
      </c>
      <c r="CQ2" s="111" t="s">
        <v>218</v>
      </c>
      <c r="CR2" s="111" t="b">
        <v>1</v>
      </c>
      <c r="CS2" s="111" t="b">
        <v>1</v>
      </c>
      <c r="CT2" s="103" t="b">
        <v>1</v>
      </c>
      <c r="CU2" s="103" t="b">
        <v>1</v>
      </c>
      <c r="CV2" s="117" t="b">
        <v>1</v>
      </c>
      <c r="LL2" s="99">
        <v>1</v>
      </c>
      <c r="LM2" s="61" t="s">
        <v>240</v>
      </c>
      <c r="LN2" s="100" t="s">
        <v>243</v>
      </c>
      <c r="LO2" s="100" t="s">
        <v>242</v>
      </c>
      <c r="LP2" s="100" t="s">
        <v>241</v>
      </c>
      <c r="LQ2" s="61" t="s">
        <v>244</v>
      </c>
      <c r="LR2" s="61"/>
      <c r="LS2" s="101">
        <v>43860</v>
      </c>
    </row>
    <row r="3" spans="1:332" x14ac:dyDescent="0.3">
      <c r="A3" s="59"/>
      <c r="B3" s="59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174" t="s">
        <v>151</v>
      </c>
      <c r="AN3" s="174"/>
      <c r="AO3" s="65"/>
      <c r="AP3" s="77"/>
      <c r="AQ3" s="66"/>
      <c r="AR3" s="67"/>
      <c r="AS3" s="68"/>
      <c r="AT3" s="69"/>
      <c r="AU3" s="78"/>
      <c r="AV3" s="177"/>
      <c r="AW3" s="71"/>
      <c r="AX3" s="71"/>
      <c r="AY3" s="80"/>
      <c r="AZ3" s="73"/>
      <c r="BA3" s="177"/>
      <c r="BB3" s="179"/>
      <c r="BC3" s="178"/>
      <c r="BD3" s="179"/>
      <c r="BE3" s="72"/>
      <c r="BF3" s="73"/>
      <c r="BG3" s="83"/>
      <c r="BH3" s="73"/>
      <c r="BI3" s="84"/>
      <c r="BJ3" s="114"/>
      <c r="BK3" s="69"/>
      <c r="BL3" s="181"/>
      <c r="BM3" s="183"/>
      <c r="BN3" s="85"/>
      <c r="BO3" s="116"/>
      <c r="BP3" s="109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111"/>
      <c r="CR3" s="111"/>
      <c r="CS3" s="111"/>
    </row>
    <row r="4" spans="1:332" x14ac:dyDescent="0.3">
      <c r="A4" s="59"/>
      <c r="B4" s="5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/>
      <c r="P4"/>
      <c r="Q4"/>
      <c r="R4"/>
      <c r="S4"/>
      <c r="T4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174" t="s">
        <v>153</v>
      </c>
      <c r="AN4" s="174"/>
      <c r="AO4" s="72"/>
      <c r="AP4" s="85"/>
      <c r="AQ4" s="86"/>
      <c r="AR4" s="87"/>
      <c r="AS4" s="77"/>
      <c r="AT4" s="69"/>
      <c r="AU4" s="88"/>
      <c r="AV4" s="89"/>
      <c r="AW4" s="182"/>
      <c r="AX4" s="182"/>
      <c r="AY4" s="86"/>
      <c r="AZ4" s="72"/>
      <c r="BA4" s="177"/>
      <c r="BB4" s="179"/>
      <c r="BC4" s="178"/>
      <c r="BD4" s="179"/>
      <c r="BE4" s="82"/>
      <c r="BF4" s="90"/>
      <c r="BG4" s="174"/>
      <c r="BH4" s="174"/>
      <c r="BI4" s="84"/>
      <c r="BJ4" s="110"/>
      <c r="BK4" s="69"/>
      <c r="BL4" s="181"/>
      <c r="BM4" s="183"/>
      <c r="BN4" s="85"/>
      <c r="BO4" s="116"/>
      <c r="BP4" s="109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111"/>
      <c r="CR4" s="111"/>
      <c r="CS4" s="111"/>
    </row>
    <row r="5" spans="1:332" x14ac:dyDescent="0.3">
      <c r="A5" s="59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/>
      <c r="P5"/>
      <c r="Q5"/>
      <c r="R5"/>
      <c r="S5"/>
      <c r="T5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174" t="s">
        <v>150</v>
      </c>
      <c r="AN5" s="174"/>
      <c r="AO5" s="91"/>
      <c r="AP5" s="180"/>
      <c r="AQ5" s="92"/>
      <c r="AR5" s="93"/>
      <c r="AS5" s="94"/>
      <c r="AT5" s="69"/>
      <c r="AU5" s="78"/>
      <c r="AV5" s="95"/>
      <c r="AW5" s="79"/>
      <c r="AX5" s="79"/>
      <c r="AY5" s="84"/>
      <c r="AZ5" s="96"/>
      <c r="BA5" s="177"/>
      <c r="BB5" s="179"/>
      <c r="BC5" s="178"/>
      <c r="BD5" s="179"/>
      <c r="BE5" s="97"/>
      <c r="BF5" s="81"/>
      <c r="BG5" s="110"/>
      <c r="BH5" s="83"/>
      <c r="BI5" s="84"/>
      <c r="BJ5" s="110"/>
      <c r="BK5" s="69"/>
      <c r="BL5" s="181"/>
      <c r="BM5" s="183"/>
      <c r="BN5" s="85"/>
      <c r="BO5" s="116"/>
      <c r="BP5" s="109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111"/>
      <c r="CR5" s="111"/>
      <c r="CS5" s="111"/>
    </row>
    <row r="6" spans="1:332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/>
      <c r="P6"/>
      <c r="Q6"/>
      <c r="R6"/>
      <c r="S6"/>
      <c r="T6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174" t="s">
        <v>154</v>
      </c>
      <c r="AN6" s="174"/>
      <c r="AO6" s="65"/>
      <c r="AP6" s="77"/>
      <c r="AQ6" s="66"/>
      <c r="AR6" s="67"/>
      <c r="AS6" s="68"/>
      <c r="AT6" s="69"/>
      <c r="AU6" s="78"/>
      <c r="AV6" s="177"/>
      <c r="AW6" s="71"/>
      <c r="AX6" s="71"/>
      <c r="AY6" s="80"/>
      <c r="AZ6" s="73"/>
      <c r="BA6" s="177"/>
      <c r="BB6" s="179"/>
      <c r="BC6" s="178"/>
      <c r="BD6" s="179"/>
      <c r="BE6" s="72"/>
      <c r="BF6" s="73"/>
      <c r="BG6" s="83"/>
      <c r="BH6" s="73"/>
      <c r="BI6" s="84"/>
      <c r="BJ6" s="114"/>
      <c r="BK6" s="69"/>
      <c r="BL6" s="181"/>
      <c r="BM6" s="183"/>
      <c r="BN6" s="85"/>
      <c r="BO6" s="116"/>
      <c r="BP6" s="10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111"/>
      <c r="CR6" s="111"/>
      <c r="CS6" s="111"/>
    </row>
    <row r="7" spans="1:332" x14ac:dyDescent="0.3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174"/>
      <c r="AN7" s="174"/>
      <c r="AO7" s="65"/>
      <c r="AP7" s="77"/>
      <c r="AQ7" s="66"/>
      <c r="AR7" s="67"/>
      <c r="AS7" s="68"/>
      <c r="AT7" s="69"/>
      <c r="AU7" s="78"/>
      <c r="AV7" s="177"/>
      <c r="AW7" s="71"/>
      <c r="AX7" s="71"/>
      <c r="AY7" s="80"/>
      <c r="AZ7" s="73"/>
      <c r="BA7" s="177"/>
      <c r="BB7" s="179"/>
      <c r="BC7" s="178"/>
      <c r="BD7" s="179"/>
      <c r="BE7" s="72"/>
      <c r="BF7" s="73"/>
      <c r="BG7" s="83"/>
      <c r="BH7" s="73"/>
      <c r="BI7" s="84"/>
      <c r="BJ7" s="114"/>
      <c r="BK7" s="69"/>
      <c r="BL7" s="181"/>
      <c r="BM7" s="183"/>
      <c r="BN7" s="85"/>
      <c r="BO7" s="116"/>
      <c r="BP7" s="10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111"/>
      <c r="CR7" s="111"/>
      <c r="CS7" s="111"/>
    </row>
    <row r="8" spans="1:332" x14ac:dyDescent="0.3">
      <c r="A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</row>
    <row r="9" spans="1:332" x14ac:dyDescent="0.3">
      <c r="A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  <c r="BA9" s="111"/>
      <c r="BB9" s="111"/>
      <c r="BC9" s="111"/>
      <c r="BD9" s="111"/>
      <c r="BE9" s="111"/>
      <c r="BF9" s="111"/>
      <c r="BG9" s="111"/>
      <c r="BH9" s="111"/>
      <c r="BI9" s="111"/>
      <c r="BQ9" s="111"/>
      <c r="BR9" s="111"/>
      <c r="BS9" s="111"/>
      <c r="BT9" s="111"/>
      <c r="BU9" s="111"/>
      <c r="BV9" s="111"/>
      <c r="BW9" s="111"/>
      <c r="BX9" s="111"/>
      <c r="BY9" s="111"/>
      <c r="BZ9" s="111"/>
      <c r="CA9" s="111"/>
      <c r="CB9" s="111"/>
      <c r="CC9" s="111"/>
      <c r="CD9" s="111"/>
      <c r="CE9" s="111"/>
      <c r="CF9" s="111"/>
      <c r="CG9" s="111"/>
      <c r="CH9" s="111"/>
      <c r="CI9" s="111"/>
      <c r="CJ9" s="111"/>
      <c r="CK9" s="111"/>
      <c r="CL9" s="111"/>
      <c r="CM9" s="111"/>
      <c r="CN9" s="111"/>
      <c r="CO9" s="111"/>
      <c r="CP9" s="111"/>
      <c r="CQ9" s="111"/>
      <c r="CR9" s="111"/>
      <c r="CS9" s="111"/>
    </row>
    <row r="10" spans="1:332" x14ac:dyDescent="0.3">
      <c r="A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</row>
  </sheetData>
  <sheetProtection formatCells="0" formatColumns="0" formatRows="0" insertHyperlinks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DT"/>
  <dimension ref="A1:BH36"/>
  <sheetViews>
    <sheetView showGridLines="0" workbookViewId="0">
      <selection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33203125" customWidth="1"/>
    <col min="6" max="6" width="13.33203125" customWidth="1"/>
    <col min="7" max="7" width="2.6640625" customWidth="1"/>
    <col min="8" max="8" width="1.6640625" customWidth="1"/>
    <col min="9" max="21" width="0.109375" customWidth="1"/>
    <col min="22" max="27" width="3.6640625" hidden="1" customWidth="1"/>
    <col min="28" max="29" width="0.109375" hidden="1" customWidth="1"/>
    <col min="30" max="32" width="16" hidden="1" customWidth="1"/>
    <col min="33" max="34" width="16" style="149" hidden="1" customWidth="1"/>
    <col min="35" max="59" width="16" hidden="1" customWidth="1"/>
    <col min="60" max="16384" width="7.33203125" hidden="1"/>
  </cols>
  <sheetData>
    <row r="1" spans="1:60" s="3" customFormat="1" ht="6" customHeight="1" x14ac:dyDescent="0.3">
      <c r="A1" s="2"/>
      <c r="B1"/>
      <c r="C1"/>
      <c r="D1"/>
      <c r="E1"/>
      <c r="F1" s="2"/>
      <c r="G1" s="2"/>
      <c r="H1" s="2"/>
      <c r="Y1" s="5"/>
      <c r="Z1" s="5"/>
      <c r="AA1" s="5"/>
      <c r="AB1" s="5"/>
      <c r="AC1" s="5"/>
      <c r="AQ1" s="4"/>
    </row>
    <row r="2" spans="1:60" s="3" customFormat="1" ht="20.399999999999999" thickBot="1" x14ac:dyDescent="0.35">
      <c r="A2" s="1"/>
      <c r="B2" s="224" t="s">
        <v>48</v>
      </c>
      <c r="C2" s="224"/>
      <c r="D2" s="225"/>
      <c r="E2" s="225"/>
      <c r="F2" s="150"/>
      <c r="G2" s="28"/>
      <c r="H2"/>
      <c r="V2" s="39" t="s">
        <v>47</v>
      </c>
      <c r="W2" s="39" t="s">
        <v>46</v>
      </c>
      <c r="X2" s="40" t="s">
        <v>16</v>
      </c>
      <c r="Y2" s="41"/>
      <c r="Z2" s="42" t="s">
        <v>45</v>
      </c>
      <c r="AA2" s="43"/>
      <c r="AB2" s="5"/>
      <c r="AC2" s="5"/>
      <c r="AD2" s="27" t="s">
        <v>17</v>
      </c>
      <c r="AE2" s="26" t="s">
        <v>44</v>
      </c>
      <c r="AF2" s="17" t="s">
        <v>43</v>
      </c>
      <c r="AG2" s="17" t="s">
        <v>226</v>
      </c>
      <c r="AH2" s="17" t="s">
        <v>227</v>
      </c>
      <c r="AI2" s="17" t="s">
        <v>42</v>
      </c>
      <c r="AJ2" s="17" t="s">
        <v>41</v>
      </c>
      <c r="AK2" s="17" t="s">
        <v>40</v>
      </c>
      <c r="AL2" s="25" t="s">
        <v>39</v>
      </c>
      <c r="AM2" s="17" t="s">
        <v>38</v>
      </c>
      <c r="AN2" s="25" t="s">
        <v>37</v>
      </c>
      <c r="AO2" s="25" t="s">
        <v>35</v>
      </c>
      <c r="AP2" s="17" t="s">
        <v>33</v>
      </c>
      <c r="AQ2" s="17" t="s">
        <v>32</v>
      </c>
      <c r="AR2" s="25" t="s">
        <v>36</v>
      </c>
      <c r="AS2" s="25" t="s">
        <v>34</v>
      </c>
      <c r="AT2" s="24" t="s">
        <v>31</v>
      </c>
      <c r="AU2" s="24" t="s">
        <v>30</v>
      </c>
      <c r="AV2" s="24" t="s">
        <v>29</v>
      </c>
      <c r="AW2" s="24" t="s">
        <v>28</v>
      </c>
      <c r="AX2" s="24" t="s">
        <v>27</v>
      </c>
      <c r="AY2" s="24" t="s">
        <v>140</v>
      </c>
      <c r="AZ2" s="24" t="s">
        <v>26</v>
      </c>
      <c r="BA2" s="24" t="s">
        <v>25</v>
      </c>
      <c r="BB2" s="24" t="s">
        <v>24</v>
      </c>
      <c r="BC2" s="24" t="s">
        <v>23</v>
      </c>
      <c r="BD2" s="24" t="s">
        <v>22</v>
      </c>
      <c r="BE2" s="24" t="s">
        <v>21</v>
      </c>
      <c r="BF2" s="24" t="s">
        <v>20</v>
      </c>
      <c r="BG2" s="24" t="s">
        <v>19</v>
      </c>
      <c r="BH2" s="24" t="s">
        <v>18</v>
      </c>
    </row>
    <row r="3" spans="1:60" s="3" customFormat="1" ht="24" customHeight="1" thickTop="1" x14ac:dyDescent="0.3">
      <c r="A3" s="1"/>
      <c r="B3" s="36" t="s">
        <v>16</v>
      </c>
      <c r="C3" s="31"/>
      <c r="D3" s="37" t="s">
        <v>15</v>
      </c>
      <c r="E3"/>
      <c r="F3"/>
      <c r="G3" s="1"/>
      <c r="H3"/>
      <c r="V3" s="39" t="s">
        <v>123</v>
      </c>
      <c r="W3" s="39" t="s">
        <v>123</v>
      </c>
      <c r="X3" s="44">
        <f>IFERROR((SUMIFS(#REF!,#REF!,"T")+SUMIFS(#REF!,#REF!,"C"))/(COUNTIFS(#REF!,"T")+COUNTIFS(#REF!,"C")),0)</f>
        <v>0</v>
      </c>
      <c r="Y3" s="45">
        <f>100%-X3</f>
        <v>1</v>
      </c>
      <c r="Z3" s="42"/>
      <c r="AA3" s="43"/>
      <c r="AB3" s="5"/>
      <c r="AC3" s="5"/>
      <c r="AD3" t="s">
        <v>129</v>
      </c>
      <c r="AE3" s="23" t="s">
        <v>126</v>
      </c>
      <c r="AF3" s="22" t="s">
        <v>127</v>
      </c>
      <c r="AG3" s="22"/>
      <c r="AH3" s="22"/>
      <c r="AI3" s="22"/>
      <c r="AJ3" s="21"/>
      <c r="AK3" s="47"/>
      <c r="AL3" s="48"/>
      <c r="AM3" s="49"/>
      <c r="AN3" s="48">
        <v>42614</v>
      </c>
      <c r="AO3" s="48">
        <v>42643</v>
      </c>
      <c r="AP3" s="49">
        <v>22</v>
      </c>
      <c r="AQ3" s="20">
        <v>0</v>
      </c>
      <c r="AR3" s="48"/>
      <c r="AS3" s="48"/>
      <c r="AT3" s="50"/>
      <c r="AU3" s="18">
        <v>0</v>
      </c>
      <c r="AV3" s="18">
        <v>0</v>
      </c>
      <c r="AW3" s="18"/>
      <c r="AX3" s="12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0" s="3" customFormat="1" x14ac:dyDescent="0.3">
      <c r="A4" s="1"/>
      <c r="B4"/>
      <c r="C4"/>
      <c r="D4" s="29" t="s">
        <v>14</v>
      </c>
      <c r="E4" s="16" t="str">
        <f>IF(X3=0,"Planned",IF(X3=1,"Completed","In-Progress"))</f>
        <v>Planned</v>
      </c>
      <c r="F4" s="15"/>
      <c r="G4" s="1"/>
      <c r="H4"/>
      <c r="J4"/>
      <c r="K4"/>
      <c r="L4"/>
      <c r="M4"/>
      <c r="N4"/>
      <c r="O4"/>
      <c r="P4"/>
      <c r="Q4"/>
      <c r="R4"/>
      <c r="S4"/>
      <c r="V4" s="39"/>
      <c r="W4" s="39"/>
      <c r="X4" s="40"/>
      <c r="Y4" s="41"/>
      <c r="Z4" s="42"/>
      <c r="AA4" s="43"/>
      <c r="AB4" s="5"/>
      <c r="AC4" s="5"/>
      <c r="AQ4" s="4"/>
    </row>
    <row r="5" spans="1:60" s="3" customFormat="1" x14ac:dyDescent="0.3">
      <c r="A5" s="1"/>
      <c r="B5"/>
      <c r="C5"/>
      <c r="D5" s="8" t="s">
        <v>13</v>
      </c>
      <c r="E5" s="16"/>
      <c r="F5" s="15"/>
      <c r="G5" s="1"/>
      <c r="H5"/>
      <c r="V5" s="39"/>
      <c r="W5" s="39"/>
      <c r="X5" s="40" t="s">
        <v>12</v>
      </c>
      <c r="Y5" s="41" t="s">
        <v>11</v>
      </c>
      <c r="Z5" s="42"/>
      <c r="AA5" s="43"/>
      <c r="AB5" s="5"/>
      <c r="AC5" s="5"/>
      <c r="AQ5" s="4"/>
    </row>
    <row r="6" spans="1:60" s="3" customFormat="1" x14ac:dyDescent="0.3">
      <c r="A6" s="1"/>
      <c r="B6"/>
      <c r="C6"/>
      <c r="D6" s="8" t="s">
        <v>10</v>
      </c>
      <c r="E6" s="14" t="e">
        <f>MIN(#REF!)</f>
        <v>#REF!</v>
      </c>
      <c r="F6" s="13"/>
      <c r="G6" s="1"/>
      <c r="H6"/>
      <c r="V6" s="39"/>
      <c r="W6" s="39"/>
      <c r="X6" s="40" t="s">
        <v>9</v>
      </c>
      <c r="Y6" s="41" t="s">
        <v>128</v>
      </c>
      <c r="Z6" s="42" t="str">
        <f>$Y$5&amp;" "&amp;TEXT(Y6,"#,##0")</f>
        <v>$ 31,726</v>
      </c>
      <c r="AA6" s="43"/>
      <c r="AB6" s="5"/>
      <c r="AC6" s="5"/>
      <c r="AQ6" s="4"/>
    </row>
    <row r="7" spans="1:60" s="3" customFormat="1" x14ac:dyDescent="0.3">
      <c r="A7" s="1"/>
      <c r="B7"/>
      <c r="C7"/>
      <c r="D7" s="8" t="s">
        <v>8</v>
      </c>
      <c r="E7" s="14" t="e">
        <f>MAX(#REF!)</f>
        <v>#REF!</v>
      </c>
      <c r="F7" s="13"/>
      <c r="G7" s="1"/>
      <c r="H7"/>
      <c r="V7" s="39"/>
      <c r="W7" s="39"/>
      <c r="X7" s="40" t="s">
        <v>7</v>
      </c>
      <c r="Y7" s="41" t="s">
        <v>125</v>
      </c>
      <c r="Z7" s="42" t="str">
        <f>$Y$5&amp;" "&amp;TEXT(Y7,"#,##0")</f>
        <v>$ 0</v>
      </c>
      <c r="AA7" s="43"/>
      <c r="AB7" s="5"/>
      <c r="AC7" s="5"/>
      <c r="AQ7" s="4"/>
    </row>
    <row r="8" spans="1:60" s="3" customFormat="1" x14ac:dyDescent="0.3">
      <c r="A8" s="1"/>
      <c r="B8"/>
      <c r="C8"/>
      <c r="D8" s="29" t="s">
        <v>6</v>
      </c>
      <c r="E8" s="10" t="e">
        <f>COUNTIFS(#REF!,"T")+COUNTIFS(#REF!,"C")</f>
        <v>#REF!</v>
      </c>
      <c r="F8" s="9"/>
      <c r="G8" s="1"/>
      <c r="H8"/>
      <c r="V8" s="39"/>
      <c r="W8" s="39"/>
      <c r="X8" s="40" t="s">
        <v>5</v>
      </c>
      <c r="Y8" s="41" t="e">
        <f>SUMIFS(#REF!,#REF!,"T")+SUMIFS(#REF!,#REF!,"MP")</f>
        <v>#REF!</v>
      </c>
      <c r="Z8" s="41" t="e">
        <f>Y5&amp;" "&amp;TEXT(Y8,"#,##0")&amp;" spent"</f>
        <v>#REF!</v>
      </c>
      <c r="AA8" s="43"/>
      <c r="AB8" s="5"/>
      <c r="AC8" s="5"/>
      <c r="AQ8" s="4"/>
    </row>
    <row r="9" spans="1:60" s="3" customFormat="1" x14ac:dyDescent="0.3">
      <c r="A9" s="1"/>
      <c r="B9" s="226"/>
      <c r="C9" s="227"/>
      <c r="D9" s="8" t="s">
        <v>114</v>
      </c>
      <c r="E9" s="10" t="e">
        <f>COUNTIFS(#REF!,"T",#REF!,1)+COUNTIFS(#REF!,"C",#REF!,1)</f>
        <v>#REF!</v>
      </c>
      <c r="F9" s="9"/>
      <c r="G9" s="1"/>
      <c r="H9"/>
      <c r="V9" s="39"/>
      <c r="W9" s="39"/>
      <c r="X9" s="40" t="s">
        <v>4</v>
      </c>
      <c r="Y9" s="45">
        <f>IFERROR(Y8/Y6,0)</f>
        <v>0</v>
      </c>
      <c r="Z9" s="45">
        <f>1-Y9</f>
        <v>1</v>
      </c>
      <c r="AA9" s="46"/>
      <c r="AB9" s="11"/>
      <c r="AC9" s="11"/>
      <c r="AQ9" s="4"/>
    </row>
    <row r="10" spans="1:60" s="3" customFormat="1" x14ac:dyDescent="0.3">
      <c r="A10" s="1"/>
      <c r="B10"/>
      <c r="C10"/>
      <c r="D10" s="8" t="s">
        <v>115</v>
      </c>
      <c r="E10" s="10" t="e">
        <f ca="1">COUNTIFS(#REF!,"T",#REF!,"&lt;"&amp;1,#REF!,"&gt;"&amp;0,#REF!,"&gt;="&amp;TODAY())+COUNTIFS(#REF!,"C",#REF!,"&lt;"&amp;1,#REF!,"&gt;"&amp;0,#REF!,"&gt;="&amp;TODAY())</f>
        <v>#REF!</v>
      </c>
      <c r="F10" s="9"/>
      <c r="G10" s="1"/>
      <c r="H10"/>
      <c r="V10" s="39"/>
      <c r="W10" s="39"/>
      <c r="X10" s="39"/>
      <c r="Y10" s="43"/>
      <c r="Z10" s="43"/>
      <c r="AA10" s="43"/>
      <c r="AB10" s="5"/>
      <c r="AC10" s="5"/>
      <c r="AQ10" s="4"/>
    </row>
    <row r="11" spans="1:60" s="3" customFormat="1" x14ac:dyDescent="0.3">
      <c r="A11" s="1"/>
      <c r="B11"/>
      <c r="C11"/>
      <c r="D11" s="8" t="s">
        <v>116</v>
      </c>
      <c r="E11" s="10" t="e">
        <f ca="1">COUNTIFS(#REF!,"T",#REF!,0,#REF!,"&gt;="&amp;TODAY())+COUNTIFS(#REF!,"C",#REF!,0,#REF!,"&gt;="&amp;TODAY())</f>
        <v>#REF!</v>
      </c>
      <c r="F11" s="9"/>
      <c r="G11" s="1"/>
      <c r="H11"/>
      <c r="V11" s="39"/>
      <c r="W11" s="39"/>
      <c r="X11" s="39" t="s">
        <v>122</v>
      </c>
      <c r="Y11" s="43" t="e">
        <f>SUMIFS(#REF!,#REF!,"T")+SUMIFS(#REF!,#REF!,"MP")</f>
        <v>#REF!</v>
      </c>
      <c r="Z11" s="42" t="e">
        <f>$Y$5&amp;" "&amp;TEXT(Y11,"#,##0")</f>
        <v>#REF!</v>
      </c>
      <c r="AA11" s="43"/>
      <c r="AB11" s="5"/>
      <c r="AC11" s="5"/>
      <c r="AQ11" s="4"/>
    </row>
    <row r="12" spans="1:60" s="3" customFormat="1" x14ac:dyDescent="0.3">
      <c r="A12" s="1"/>
      <c r="B12"/>
      <c r="C12"/>
      <c r="D12" s="8" t="s">
        <v>117</v>
      </c>
      <c r="E12" s="7" t="e">
        <f ca="1">COUNTIFS(#REF!,"T",#REF!,"&lt;&gt;"&amp;1,#REF!,"&lt;"&amp;TODAY())+COUNTIFS(#REF!,"C",#REF!,"&lt;&gt;"&amp;1,#REF!,"&lt;"&amp;TODAY())</f>
        <v>#REF!</v>
      </c>
      <c r="F12" s="6"/>
      <c r="G12" s="1"/>
      <c r="H12"/>
      <c r="V12" s="39"/>
      <c r="W12" s="39"/>
      <c r="X12" s="39" t="s">
        <v>121</v>
      </c>
      <c r="Y12" s="43" t="e">
        <f>SUMIFS(#REF!,#REF!,"T")+SUMIFS(#REF!,#REF!,"MP")</f>
        <v>#REF!</v>
      </c>
      <c r="Z12" s="42" t="e">
        <f>$Y$5&amp;" "&amp;TEXT(Y12,"#,##0")</f>
        <v>#REF!</v>
      </c>
      <c r="AA12" s="43"/>
      <c r="AB12" s="5"/>
      <c r="AC12" s="5"/>
      <c r="AQ12" s="4"/>
    </row>
    <row r="13" spans="1:60" s="3" customFormat="1" ht="5.25" customHeight="1" x14ac:dyDescent="0.3">
      <c r="A13" s="1"/>
      <c r="B13" s="33"/>
      <c r="C13" s="34"/>
      <c r="D13" s="35"/>
      <c r="E13" s="1"/>
      <c r="F13" s="1"/>
      <c r="G13" s="1"/>
      <c r="H13"/>
      <c r="V13" s="39"/>
      <c r="W13" s="39"/>
      <c r="X13" s="39" t="s">
        <v>120</v>
      </c>
      <c r="Y13" s="43" t="e">
        <f>SUMIFS(#REF!,#REF!,"T")+SUMIFS(#REF!,#REF!,"MP")</f>
        <v>#REF!</v>
      </c>
      <c r="Z13" s="42" t="e">
        <f>$Y$5&amp;" "&amp;TEXT(Y13,"#,##0")</f>
        <v>#REF!</v>
      </c>
      <c r="AA13" s="43"/>
      <c r="AB13" s="5"/>
      <c r="AC13" s="5"/>
      <c r="AQ13" s="4"/>
    </row>
    <row r="14" spans="1:60" s="3" customFormat="1" x14ac:dyDescent="0.3">
      <c r="A14" s="1"/>
      <c r="B14" s="223" t="s">
        <v>3</v>
      </c>
      <c r="C14" s="223"/>
      <c r="D14" s="223"/>
      <c r="E14" s="223"/>
      <c r="F14" s="223"/>
      <c r="G14" s="1"/>
      <c r="H14"/>
      <c r="V14" s="39"/>
      <c r="W14" s="39"/>
      <c r="X14" s="39"/>
      <c r="Y14" s="43"/>
      <c r="Z14" s="43"/>
      <c r="AA14" s="43"/>
      <c r="AB14" s="5"/>
      <c r="AC14" s="5"/>
      <c r="AQ14" s="4"/>
    </row>
    <row r="15" spans="1:60" s="30" customFormat="1" ht="15" customHeight="1" x14ac:dyDescent="0.3">
      <c r="A15" s="1"/>
      <c r="B15" s="2"/>
      <c r="C15" s="2"/>
      <c r="D15" s="2"/>
      <c r="E15" s="2"/>
      <c r="F15" s="2"/>
      <c r="G15" s="1"/>
      <c r="H15" s="2"/>
      <c r="V15" s="39"/>
      <c r="W15" s="39"/>
      <c r="X15" s="39"/>
      <c r="Y15" s="39"/>
      <c r="Z15" s="39"/>
      <c r="AA15" s="3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4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</row>
    <row r="16" spans="1:60" s="3" customFormat="1" x14ac:dyDescent="0.3">
      <c r="A16" s="1"/>
      <c r="B16"/>
      <c r="C16"/>
      <c r="D16"/>
      <c r="E16"/>
      <c r="F16"/>
      <c r="G16" s="1"/>
      <c r="H16"/>
      <c r="V16" s="39"/>
      <c r="W16" s="39"/>
      <c r="X16" s="39" t="e">
        <f ca="1">SUM(INDIRECT("'Project Dashboard'!E10:E12"))&amp;" Tasks Left"</f>
        <v>#REF!</v>
      </c>
      <c r="Y16" s="39"/>
      <c r="Z16" s="39"/>
      <c r="AA16" s="39"/>
      <c r="AQ16" s="4"/>
    </row>
    <row r="17" spans="1:60" s="3" customFormat="1" ht="21" customHeight="1" x14ac:dyDescent="0.3">
      <c r="A17" s="1"/>
      <c r="B17"/>
      <c r="C17"/>
      <c r="D17"/>
      <c r="E17"/>
      <c r="F17"/>
      <c r="G17" s="1"/>
      <c r="H17"/>
      <c r="AQ17" s="4"/>
    </row>
    <row r="18" spans="1:60" s="3" customFormat="1" ht="4.5" customHeight="1" x14ac:dyDescent="0.3">
      <c r="A18" s="1"/>
      <c r="B18" s="1"/>
      <c r="C18" s="1"/>
      <c r="D18" s="1"/>
      <c r="E18" s="1"/>
      <c r="F18" s="1"/>
      <c r="G18" s="1"/>
      <c r="H18"/>
      <c r="AQ18" s="4"/>
    </row>
    <row r="19" spans="1:60" s="3" customFormat="1" x14ac:dyDescent="0.3">
      <c r="A19" s="1"/>
      <c r="B19"/>
      <c r="C19"/>
      <c r="D19"/>
      <c r="E19"/>
      <c r="F19"/>
      <c r="G19" s="1"/>
      <c r="H19"/>
      <c r="AQ19" s="4"/>
    </row>
    <row r="20" spans="1:60" s="3" customFormat="1" x14ac:dyDescent="0.3">
      <c r="A20" s="1"/>
      <c r="B20" s="32" t="s">
        <v>118</v>
      </c>
      <c r="C20"/>
      <c r="D20" s="38" t="s">
        <v>119</v>
      </c>
      <c r="E20"/>
      <c r="F20"/>
      <c r="G20" s="1"/>
      <c r="H20"/>
      <c r="X20"/>
      <c r="Y20"/>
      <c r="Z20"/>
      <c r="AQ20" s="4"/>
    </row>
    <row r="21" spans="1:60" s="3" customFormat="1" x14ac:dyDescent="0.3">
      <c r="A21" s="1"/>
      <c r="B21"/>
      <c r="C21"/>
      <c r="D21"/>
      <c r="E21"/>
      <c r="F21"/>
      <c r="G21" s="1"/>
      <c r="H21"/>
      <c r="X21"/>
      <c r="Y21"/>
      <c r="Z21"/>
      <c r="AQ21" s="4"/>
    </row>
    <row r="22" spans="1:60" s="3" customFormat="1" x14ac:dyDescent="0.3">
      <c r="A22" s="1"/>
      <c r="B22"/>
      <c r="C22"/>
      <c r="D22"/>
      <c r="E22"/>
      <c r="F22"/>
      <c r="G22" s="1"/>
      <c r="H22"/>
      <c r="X22"/>
      <c r="Y22"/>
      <c r="Z22"/>
      <c r="AQ22" s="4"/>
    </row>
    <row r="23" spans="1:60" s="3" customFormat="1" x14ac:dyDescent="0.3">
      <c r="A23" s="1"/>
      <c r="B23"/>
      <c r="C23"/>
      <c r="D23"/>
      <c r="E23"/>
      <c r="F23"/>
      <c r="G23" s="1"/>
      <c r="H23"/>
      <c r="X23"/>
      <c r="Y23"/>
      <c r="Z23"/>
      <c r="AQ23" s="4"/>
    </row>
    <row r="24" spans="1:60" s="3" customFormat="1" x14ac:dyDescent="0.3">
      <c r="A24" s="1"/>
      <c r="B24"/>
      <c r="C24"/>
      <c r="D24"/>
      <c r="E24"/>
      <c r="F24"/>
      <c r="G24" s="1"/>
      <c r="H24"/>
      <c r="AQ24" s="4"/>
    </row>
    <row r="25" spans="1:60" s="3" customFormat="1" x14ac:dyDescent="0.3">
      <c r="A25" s="1"/>
      <c r="B25"/>
      <c r="C25"/>
      <c r="D25"/>
      <c r="E25"/>
      <c r="F25"/>
      <c r="G25" s="1"/>
      <c r="H25"/>
      <c r="AQ25" s="4"/>
    </row>
    <row r="26" spans="1:60" s="30" customFormat="1" ht="15" customHeight="1" x14ac:dyDescent="0.3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4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s="3" customFormat="1" x14ac:dyDescent="0.3">
      <c r="A27" s="1"/>
      <c r="B27" s="2"/>
      <c r="C27" s="2"/>
      <c r="D27" s="2"/>
      <c r="E27" s="2"/>
      <c r="F27" s="2"/>
      <c r="G27" s="1"/>
      <c r="H27" s="2"/>
      <c r="AQ27" s="4"/>
    </row>
    <row r="28" spans="1:60" s="3" customFormat="1" x14ac:dyDescent="0.3">
      <c r="A28" s="1"/>
      <c r="B28"/>
      <c r="C28"/>
      <c r="D28"/>
      <c r="E28"/>
      <c r="F28"/>
      <c r="G28" s="1"/>
      <c r="H28"/>
      <c r="AQ28" s="4"/>
    </row>
    <row r="29" spans="1:60" s="3" customFormat="1" x14ac:dyDescent="0.3">
      <c r="A29" s="1"/>
      <c r="B29"/>
      <c r="C29"/>
      <c r="D29"/>
      <c r="E29"/>
      <c r="F29"/>
      <c r="G29" s="1"/>
      <c r="H29"/>
      <c r="AQ29" s="4"/>
    </row>
    <row r="30" spans="1:60" s="3" customFormat="1" x14ac:dyDescent="0.3">
      <c r="A30" s="1"/>
      <c r="B30"/>
      <c r="C30"/>
      <c r="D30"/>
      <c r="E30"/>
      <c r="F30"/>
      <c r="G30" s="1"/>
      <c r="H30"/>
      <c r="AQ30" s="4"/>
    </row>
    <row r="31" spans="1:60" s="3" customFormat="1" x14ac:dyDescent="0.3">
      <c r="A31" s="1"/>
      <c r="B31"/>
      <c r="C31"/>
      <c r="D31"/>
      <c r="E31"/>
      <c r="F31"/>
      <c r="G31" s="1"/>
      <c r="H31"/>
      <c r="AQ31" s="4"/>
    </row>
    <row r="32" spans="1:60" s="3" customFormat="1" x14ac:dyDescent="0.3">
      <c r="A32" s="1"/>
      <c r="B32"/>
      <c r="C32"/>
      <c r="D32"/>
      <c r="E32"/>
      <c r="F32"/>
      <c r="G32" s="1"/>
      <c r="H32"/>
      <c r="AQ32" s="4"/>
    </row>
    <row r="33" spans="1:43" s="3" customFormat="1" x14ac:dyDescent="0.3">
      <c r="A33" s="1"/>
      <c r="B33"/>
      <c r="C33"/>
      <c r="D33"/>
      <c r="E33"/>
      <c r="F33"/>
      <c r="G33" s="1"/>
      <c r="H33"/>
      <c r="AQ33" s="4"/>
    </row>
    <row r="34" spans="1:43" s="3" customFormat="1" ht="15" customHeight="1" x14ac:dyDescent="0.3">
      <c r="A34" s="1"/>
      <c r="B34" s="2"/>
      <c r="C34" s="2"/>
      <c r="D34" s="2"/>
      <c r="E34" s="2"/>
      <c r="F34" s="2"/>
      <c r="G34" s="1"/>
      <c r="H34"/>
      <c r="AQ34" s="4"/>
    </row>
    <row r="35" spans="1:43" s="3" customFormat="1" ht="15" customHeight="1" x14ac:dyDescent="0.3">
      <c r="A35" s="1"/>
      <c r="B35" s="2"/>
      <c r="C35" s="2"/>
      <c r="D35" s="2"/>
      <c r="E35" s="2"/>
      <c r="F35" s="2"/>
      <c r="G35" s="1"/>
      <c r="H35"/>
      <c r="AQ35" s="4"/>
    </row>
    <row r="36" spans="1:43" s="3" customFormat="1" ht="23.25" customHeight="1" x14ac:dyDescent="0.3">
      <c r="A36" s="1"/>
      <c r="B36" s="1"/>
      <c r="C36" s="1"/>
      <c r="D36" s="1"/>
      <c r="E36" s="1"/>
      <c r="F36" s="1"/>
      <c r="G36" s="1"/>
      <c r="H36"/>
      <c r="AQ36" s="4"/>
    </row>
  </sheetData>
  <sheetProtection formatCells="0" formatColumns="0" formatRows="0" insertHyperlinks="0" autoFilter="0"/>
  <mergeCells count="4">
    <mergeCell ref="B14:F14"/>
    <mergeCell ref="B2:C2"/>
    <mergeCell ref="D2:E2"/>
    <mergeCell ref="B9:C9"/>
  </mergeCells>
  <conditionalFormatting sqref="E12">
    <cfRule type="cellIs" dxfId="34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Dashboard">
              <controlPr defaultSize="0" print="0" autoFill="0" autoPict="0" macro="[0]!refreshdashbutton">
                <anchor>
                  <from>
                    <xdr:col>5</xdr:col>
                    <xdr:colOff>144780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lp"/>
  <dimension ref="A1:VGA29"/>
  <sheetViews>
    <sheetView showGridLines="0" showRowColHeaders="0" zoomScaleNormal="100" workbookViewId="0">
      <selection activeCell="C3" sqref="C3"/>
    </sheetView>
  </sheetViews>
  <sheetFormatPr defaultColWidth="9.109375" defaultRowHeight="14.4" x14ac:dyDescent="0.3"/>
  <cols>
    <col min="1" max="1" width="1" style="174" customWidth="1"/>
    <col min="2" max="2" width="6.33203125" style="174" customWidth="1"/>
    <col min="3" max="3" width="1.33203125" style="174" customWidth="1"/>
    <col min="4" max="14" width="9.109375" style="174" customWidth="1"/>
    <col min="15" max="15" width="9.33203125" style="174" customWidth="1"/>
    <col min="16" max="17" width="9.109375" style="174" customWidth="1"/>
    <col min="18" max="18" width="8.33203125" style="174" customWidth="1"/>
    <col min="19" max="19" width="9.109375" style="174" customWidth="1"/>
    <col min="20" max="20" width="9.33203125" style="174" customWidth="1"/>
    <col min="21" max="21" width="2" style="174" customWidth="1"/>
    <col min="22" max="22" width="0.88671875" style="174" customWidth="1"/>
    <col min="23" max="16384" width="9.109375" style="174"/>
  </cols>
  <sheetData>
    <row r="1" spans="1:22 15054:15055" ht="5.25" customHeight="1" x14ac:dyDescent="0.3">
      <c r="A1" s="68"/>
      <c r="B1" s="68" t="s">
        <v>2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 15054:15055" ht="15" customHeight="1" x14ac:dyDescent="0.3">
      <c r="A2" s="68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162" t="s">
        <v>158</v>
      </c>
      <c r="U2" s="163"/>
      <c r="V2" s="68"/>
      <c r="VFZ2" s="164" t="s">
        <v>148</v>
      </c>
      <c r="VGA2" s="164" t="s">
        <v>149</v>
      </c>
    </row>
    <row r="3" spans="1:22 15054:15055" ht="15" customHeight="1" x14ac:dyDescent="0.3">
      <c r="A3" s="68"/>
      <c r="B3" s="83"/>
      <c r="C3" s="83"/>
      <c r="F3" s="228" t="s">
        <v>1</v>
      </c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83"/>
      <c r="T3" s="83"/>
      <c r="U3" s="83"/>
      <c r="V3" s="68"/>
    </row>
    <row r="4" spans="1:22 15054:15055" ht="15" customHeight="1" x14ac:dyDescent="0.3">
      <c r="A4" s="68"/>
      <c r="B4" s="83"/>
      <c r="C4" s="83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9"/>
      <c r="Q4" s="230"/>
      <c r="R4" s="230"/>
      <c r="V4" s="68"/>
    </row>
    <row r="5" spans="1:22 15054:15055" ht="10.5" customHeight="1" x14ac:dyDescent="0.3">
      <c r="A5" s="68"/>
      <c r="B5" s="83"/>
      <c r="C5" s="83"/>
      <c r="J5" s="165"/>
      <c r="K5" s="165"/>
      <c r="L5" s="165"/>
      <c r="M5" s="165"/>
      <c r="N5" s="165"/>
      <c r="O5" s="165"/>
      <c r="P5" s="83"/>
      <c r="Q5" s="83"/>
      <c r="R5" s="166"/>
      <c r="S5" s="83"/>
      <c r="T5" s="83"/>
      <c r="U5" s="83"/>
      <c r="V5" s="68"/>
    </row>
    <row r="6" spans="1:22 15054:15055" ht="15" customHeight="1" x14ac:dyDescent="0.3">
      <c r="A6" s="68"/>
      <c r="B6" s="167" t="s">
        <v>238</v>
      </c>
      <c r="C6" s="83"/>
      <c r="J6" s="165"/>
      <c r="K6" s="165"/>
      <c r="L6" s="165"/>
      <c r="M6" s="165"/>
      <c r="N6" s="165"/>
      <c r="O6" s="165"/>
      <c r="P6" s="83"/>
      <c r="Q6" s="83"/>
      <c r="R6" s="166"/>
      <c r="S6" s="83"/>
      <c r="T6" s="83"/>
      <c r="U6" s="83"/>
      <c r="V6" s="68"/>
    </row>
    <row r="7" spans="1:22 15054:15055" ht="3.9" customHeight="1" x14ac:dyDescent="0.3">
      <c r="A7" s="68"/>
      <c r="B7" s="68"/>
      <c r="C7" s="68"/>
      <c r="D7" s="68"/>
      <c r="E7" s="68"/>
      <c r="F7" s="68"/>
      <c r="G7" s="68"/>
      <c r="H7" s="68"/>
      <c r="I7" s="68"/>
      <c r="J7" s="168"/>
      <c r="K7" s="168"/>
      <c r="L7" s="168"/>
      <c r="M7" s="168"/>
      <c r="N7" s="168"/>
      <c r="O7" s="168"/>
      <c r="P7" s="68"/>
      <c r="Q7" s="68"/>
      <c r="R7" s="169"/>
      <c r="S7" s="68"/>
      <c r="T7" s="68"/>
      <c r="U7" s="68"/>
      <c r="V7" s="68"/>
    </row>
    <row r="8" spans="1:22 15054:15055" ht="15" customHeight="1" x14ac:dyDescent="0.3">
      <c r="A8" s="68"/>
      <c r="V8" s="68"/>
    </row>
    <row r="9" spans="1:22 15054:15055" ht="15" customHeight="1" x14ac:dyDescent="0.35">
      <c r="A9" s="68"/>
      <c r="B9" s="174">
        <v>1</v>
      </c>
      <c r="C9" s="170">
        <v>1</v>
      </c>
      <c r="D9" s="171" t="s">
        <v>159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172"/>
      <c r="Q9" s="172"/>
      <c r="R9" s="172"/>
      <c r="S9" s="172"/>
      <c r="T9" s="172"/>
      <c r="U9" s="172"/>
      <c r="V9" s="68"/>
    </row>
    <row r="10" spans="1:22 15054:15055" ht="15" customHeight="1" x14ac:dyDescent="0.3">
      <c r="A10" s="68"/>
      <c r="D10" s="231" t="s">
        <v>145</v>
      </c>
      <c r="E10" s="232"/>
      <c r="F10" s="232"/>
      <c r="G10" s="232"/>
      <c r="H10" s="232"/>
      <c r="V10" s="68"/>
    </row>
    <row r="11" spans="1:22 15054:15055" ht="15" customHeight="1" x14ac:dyDescent="0.3">
      <c r="A11" s="68"/>
      <c r="V11" s="68"/>
    </row>
    <row r="12" spans="1:22 15054:15055" ht="15" customHeight="1" x14ac:dyDescent="0.35">
      <c r="A12" s="68"/>
      <c r="B12" s="174">
        <v>2</v>
      </c>
      <c r="D12" s="171" t="s">
        <v>157</v>
      </c>
      <c r="V12" s="68"/>
    </row>
    <row r="13" spans="1:22 15054:15055" ht="15" customHeight="1" x14ac:dyDescent="0.3">
      <c r="A13" s="68"/>
      <c r="V13" s="68"/>
    </row>
    <row r="14" spans="1:22 15054:15055" ht="15" customHeight="1" x14ac:dyDescent="0.3">
      <c r="A14" s="68"/>
      <c r="V14" s="68"/>
    </row>
    <row r="15" spans="1:22 15054:15055" ht="15" customHeight="1" x14ac:dyDescent="0.3">
      <c r="A15" s="68"/>
      <c r="V15" s="68"/>
    </row>
    <row r="16" spans="1:22 15054:15055" ht="15" customHeight="1" x14ac:dyDescent="0.3">
      <c r="A16" s="68"/>
      <c r="V16" s="68"/>
    </row>
    <row r="17" spans="1:22" ht="15" customHeight="1" x14ac:dyDescent="0.3">
      <c r="A17" s="68"/>
      <c r="V17" s="68"/>
    </row>
    <row r="18" spans="1:22" ht="15" customHeight="1" x14ac:dyDescent="0.3">
      <c r="A18" s="68"/>
      <c r="V18" s="68"/>
    </row>
    <row r="19" spans="1:22" ht="15" customHeight="1" x14ac:dyDescent="0.3">
      <c r="A19" s="68"/>
      <c r="V19" s="68"/>
    </row>
    <row r="20" spans="1:22" ht="15" customHeight="1" x14ac:dyDescent="0.3">
      <c r="A20" s="68"/>
      <c r="V20" s="68"/>
    </row>
    <row r="21" spans="1:22" ht="15" customHeight="1" x14ac:dyDescent="0.3">
      <c r="A21" s="68"/>
      <c r="D21" s="231" t="s">
        <v>0</v>
      </c>
      <c r="E21" s="232"/>
      <c r="F21" s="232"/>
      <c r="G21" s="232"/>
      <c r="V21" s="68"/>
    </row>
    <row r="22" spans="1:22" ht="15" customHeight="1" x14ac:dyDescent="0.3">
      <c r="A22" s="68"/>
      <c r="V22" s="68"/>
    </row>
    <row r="23" spans="1:22" ht="3.75" customHeight="1" x14ac:dyDescent="0.3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</row>
    <row r="24" spans="1:22" ht="15" customHeight="1" x14ac:dyDescent="0.3"/>
    <row r="29" spans="1:22" x14ac:dyDescent="0.3">
      <c r="G29" s="173"/>
    </row>
  </sheetData>
  <sheetProtection formatCells="0" formatColumns="0" formatRows="0" insertHyperlinks="0" selectLockedCells="1" autoFilter="0" selectUnlockedCells="1"/>
  <mergeCells count="3">
    <mergeCell ref="F3:R4"/>
    <mergeCell ref="D10:H10"/>
    <mergeCell ref="D21:G21"/>
  </mergeCells>
  <hyperlinks>
    <hyperlink ref="F3:R4" r:id="rId1" display="QUICK GUIDE" xr:uid="{00000000-0004-0000-0200-000003000000}"/>
    <hyperlink ref="D10" r:id="rId2" tooltip="Enable Macros" xr:uid="{B028DA43-244C-4EB4-8A1C-181037A7550F}"/>
    <hyperlink ref="D21" r:id="rId3" tooltip="Click Here For Documentation" xr:uid="{1874C537-DB13-4B6D-B255-C8ED91F6E111}"/>
  </hyperlinks>
  <pageMargins left="0.7" right="0.7" top="0.75" bottom="0.75" header="0.3" footer="0.3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2944-ACBD-4F32-B525-2BD56C5DDF1F}">
  <sheetPr codeName="GCT1">
    <pageSetUpPr fitToPage="1"/>
  </sheetPr>
  <dimension ref="A1:AOC20"/>
  <sheetViews>
    <sheetView showGridLines="0" showRowColHeaders="0" tabSelected="1" topLeftCell="H6" zoomScaleNormal="100" workbookViewId="0">
      <selection activeCell="K11" sqref="K11"/>
    </sheetView>
  </sheetViews>
  <sheetFormatPr defaultColWidth="0" defaultRowHeight="16.350000000000001" customHeight="1" x14ac:dyDescent="0.3"/>
  <cols>
    <col min="1" max="6" width="5.88671875" style="210" hidden="1" customWidth="1"/>
    <col min="7" max="7" width="5.88671875" style="160" hidden="1" customWidth="1"/>
    <col min="8" max="8" width="2.33203125" style="160" customWidth="1"/>
    <col min="9" max="9" width="3.33203125" style="160" customWidth="1"/>
    <col min="10" max="10" width="4.44140625" style="98" customWidth="1"/>
    <col min="11" max="11" width="40.6640625" style="98" customWidth="1"/>
    <col min="12" max="12" width="9.33203125" style="98" customWidth="1"/>
    <col min="13" max="13" width="11.109375" style="98" hidden="1" customWidth="1"/>
    <col min="14" max="14" width="14.6640625" style="98" customWidth="1"/>
    <col min="15" max="15" width="11.109375" style="133" hidden="1" customWidth="1"/>
    <col min="16" max="17" width="11.109375" style="134" hidden="1" customWidth="1"/>
    <col min="18" max="18" width="11.109375" style="135" hidden="1" customWidth="1"/>
    <col min="19" max="20" width="14.6640625" style="134" customWidth="1"/>
    <col min="21" max="21" width="8.6640625" style="135" customWidth="1"/>
    <col min="22" max="22" width="8.6640625" style="136" customWidth="1"/>
    <col min="23" max="24" width="5.33203125" style="134" hidden="1" customWidth="1"/>
    <col min="25" max="25" width="5.33203125" style="135" hidden="1" customWidth="1"/>
    <col min="26" max="28" width="5.33203125" style="133" hidden="1" customWidth="1"/>
    <col min="29" max="33" width="5.33203125" style="142" hidden="1" customWidth="1"/>
    <col min="34" max="34" width="2" style="158" customWidth="1"/>
    <col min="35" max="69" width="3.33203125" style="210" customWidth="1"/>
    <col min="70" max="990" width="10.6640625" style="210" hidden="1" customWidth="1"/>
    <col min="991" max="1069" width="0" style="210" hidden="1" customWidth="1"/>
    <col min="1070" max="16384" width="10.6640625" style="210" hidden="1"/>
  </cols>
  <sheetData>
    <row r="1" spans="1:1069" ht="27" hidden="1" customHeight="1" x14ac:dyDescent="0.3">
      <c r="A1" s="58" t="s">
        <v>17</v>
      </c>
      <c r="B1" s="58" t="s">
        <v>71</v>
      </c>
      <c r="C1" s="210" t="s">
        <v>70</v>
      </c>
      <c r="D1" s="58" t="s">
        <v>69</v>
      </c>
      <c r="E1" s="58" t="s">
        <v>68</v>
      </c>
      <c r="F1" s="58" t="s">
        <v>67</v>
      </c>
      <c r="G1" s="161" t="s">
        <v>237</v>
      </c>
      <c r="H1" s="161" t="s">
        <v>214</v>
      </c>
      <c r="I1" s="161" t="s">
        <v>235</v>
      </c>
      <c r="J1" s="184" t="s">
        <v>44</v>
      </c>
      <c r="K1" s="185" t="s">
        <v>43</v>
      </c>
      <c r="L1" s="185" t="s">
        <v>226</v>
      </c>
      <c r="M1" s="185" t="s">
        <v>227</v>
      </c>
      <c r="N1" s="186" t="s">
        <v>42</v>
      </c>
      <c r="O1" s="186" t="s">
        <v>41</v>
      </c>
      <c r="P1" s="186" t="s">
        <v>40</v>
      </c>
      <c r="Q1" s="187" t="s">
        <v>39</v>
      </c>
      <c r="R1" s="186" t="s">
        <v>38</v>
      </c>
      <c r="S1" s="188" t="s">
        <v>37</v>
      </c>
      <c r="T1" s="188" t="s">
        <v>35</v>
      </c>
      <c r="U1" s="189" t="s">
        <v>33</v>
      </c>
      <c r="V1" s="190" t="s">
        <v>32</v>
      </c>
      <c r="W1" s="187" t="s">
        <v>36</v>
      </c>
      <c r="X1" s="187" t="s">
        <v>34</v>
      </c>
      <c r="Y1" s="186" t="s">
        <v>31</v>
      </c>
      <c r="Z1" s="191" t="s">
        <v>30</v>
      </c>
      <c r="AA1" s="191" t="s">
        <v>29</v>
      </c>
      <c r="AB1" s="191" t="s">
        <v>28</v>
      </c>
      <c r="AC1" s="192" t="s">
        <v>27</v>
      </c>
      <c r="AD1" s="193" t="s">
        <v>113</v>
      </c>
      <c r="AE1" s="193" t="s">
        <v>112</v>
      </c>
      <c r="AF1" s="193" t="s">
        <v>136</v>
      </c>
      <c r="AG1" s="193" t="s">
        <v>137</v>
      </c>
      <c r="AH1" s="194" t="s">
        <v>216</v>
      </c>
      <c r="AI1" s="195" t="s">
        <v>111</v>
      </c>
      <c r="AJ1" s="195"/>
      <c r="AK1" s="195"/>
      <c r="AL1" s="195"/>
      <c r="AM1" s="195"/>
      <c r="AN1" s="195"/>
      <c r="AO1" s="195"/>
      <c r="BQ1" s="210" t="s">
        <v>110</v>
      </c>
    </row>
    <row r="2" spans="1:1069" ht="27" hidden="1" customHeight="1" x14ac:dyDescent="0.3">
      <c r="A2" s="189" t="s">
        <v>76</v>
      </c>
      <c r="B2" s="189" t="s">
        <v>76</v>
      </c>
      <c r="C2" s="189" t="s">
        <v>76</v>
      </c>
      <c r="D2" s="189" t="s">
        <v>76</v>
      </c>
      <c r="E2" s="189" t="s">
        <v>76</v>
      </c>
      <c r="F2" s="189" t="s">
        <v>76</v>
      </c>
      <c r="G2" s="196" t="s">
        <v>76</v>
      </c>
      <c r="H2" s="196">
        <v>1</v>
      </c>
      <c r="I2" s="196" t="s">
        <v>76</v>
      </c>
      <c r="J2" s="184" t="s">
        <v>76</v>
      </c>
      <c r="K2" s="185" t="s">
        <v>76</v>
      </c>
      <c r="L2" s="185" t="s">
        <v>76</v>
      </c>
      <c r="M2" s="185" t="s">
        <v>76</v>
      </c>
      <c r="N2" s="186" t="s">
        <v>76</v>
      </c>
      <c r="O2" s="186" t="s">
        <v>76</v>
      </c>
      <c r="P2" s="186" t="s">
        <v>76</v>
      </c>
      <c r="Q2" s="187" t="s">
        <v>76</v>
      </c>
      <c r="R2" s="186" t="s">
        <v>76</v>
      </c>
      <c r="S2" s="188" t="s">
        <v>76</v>
      </c>
      <c r="T2" s="188" t="s">
        <v>76</v>
      </c>
      <c r="U2" s="189" t="s">
        <v>76</v>
      </c>
      <c r="V2" s="197" t="s">
        <v>76</v>
      </c>
      <c r="W2" s="187" t="s">
        <v>76</v>
      </c>
      <c r="X2" s="187" t="s">
        <v>76</v>
      </c>
      <c r="Y2" s="186" t="s">
        <v>76</v>
      </c>
      <c r="Z2" s="189" t="s">
        <v>76</v>
      </c>
      <c r="AA2" s="189" t="s">
        <v>76</v>
      </c>
      <c r="AB2" s="189" t="s">
        <v>76</v>
      </c>
      <c r="AC2" s="198" t="s">
        <v>76</v>
      </c>
      <c r="AD2" s="199" t="s">
        <v>76</v>
      </c>
      <c r="AE2" s="199" t="s">
        <v>76</v>
      </c>
      <c r="AF2" s="199" t="s">
        <v>76</v>
      </c>
      <c r="AG2" s="199" t="s">
        <v>76</v>
      </c>
      <c r="AH2" s="200" t="s">
        <v>76</v>
      </c>
      <c r="AI2" s="195"/>
      <c r="AJ2" s="195"/>
      <c r="AK2" s="195"/>
      <c r="AL2" s="195"/>
      <c r="AM2" s="195"/>
      <c r="AN2" s="195"/>
      <c r="AO2" s="195"/>
    </row>
    <row r="3" spans="1:1069" ht="27" hidden="1" customHeight="1" x14ac:dyDescent="0.3">
      <c r="A3" s="62"/>
      <c r="B3" s="58"/>
      <c r="C3" s="58"/>
      <c r="D3" s="58"/>
      <c r="E3" s="58"/>
      <c r="F3" s="58"/>
      <c r="G3" s="161"/>
      <c r="H3" s="161"/>
      <c r="I3" s="161"/>
      <c r="J3" s="184"/>
      <c r="K3" s="185"/>
      <c r="L3" s="185"/>
      <c r="M3" s="185"/>
      <c r="N3" s="186"/>
      <c r="O3" s="186"/>
      <c r="P3" s="186"/>
      <c r="Q3" s="187"/>
      <c r="R3" s="186"/>
      <c r="S3" s="188"/>
      <c r="T3" s="188"/>
      <c r="U3" s="189"/>
      <c r="V3" s="190"/>
      <c r="W3" s="187"/>
      <c r="X3" s="187"/>
      <c r="Y3" s="186"/>
      <c r="Z3" s="191"/>
      <c r="AA3" s="191"/>
      <c r="AB3" s="191"/>
      <c r="AC3" s="192"/>
      <c r="AD3" s="193"/>
      <c r="AE3" s="193"/>
      <c r="AF3" s="193"/>
      <c r="AG3" s="193"/>
      <c r="AH3" s="194"/>
      <c r="AI3" s="195"/>
      <c r="AJ3" s="195"/>
      <c r="AK3" s="195"/>
      <c r="AL3" s="195"/>
      <c r="AM3" s="195"/>
      <c r="AN3" s="195"/>
      <c r="AO3" s="195"/>
    </row>
    <row r="4" spans="1:1069" ht="26.25" hidden="1" customHeight="1" x14ac:dyDescent="0.3">
      <c r="A4" s="58"/>
      <c r="B4" s="58"/>
      <c r="C4" s="58"/>
      <c r="D4" s="58"/>
      <c r="E4" s="58"/>
      <c r="F4" s="58"/>
      <c r="G4" s="161"/>
      <c r="H4" s="161"/>
      <c r="I4" s="161"/>
      <c r="J4" s="184"/>
      <c r="K4" s="185"/>
      <c r="L4" s="185"/>
      <c r="M4" s="185"/>
      <c r="N4" s="210"/>
      <c r="O4" s="210"/>
      <c r="P4" s="210"/>
      <c r="Q4" s="210"/>
      <c r="R4" s="69"/>
      <c r="S4" s="210"/>
      <c r="T4" s="210"/>
      <c r="U4" s="210"/>
      <c r="V4" s="210"/>
      <c r="W4" s="187"/>
      <c r="X4" s="187"/>
      <c r="Y4" s="186"/>
      <c r="Z4" s="191"/>
      <c r="AA4" s="191"/>
      <c r="AB4" s="191"/>
      <c r="AC4" s="192"/>
      <c r="AD4" s="193"/>
      <c r="AE4" s="193"/>
      <c r="AF4" s="193"/>
      <c r="AG4" s="193"/>
      <c r="AH4" s="194"/>
      <c r="AI4" s="195"/>
      <c r="AJ4" s="195"/>
      <c r="AK4" s="195"/>
      <c r="AL4" s="195"/>
      <c r="AM4" s="195"/>
      <c r="AN4" s="195"/>
      <c r="AO4" s="195"/>
    </row>
    <row r="5" spans="1:1069" ht="19.5" hidden="1" customHeight="1" x14ac:dyDescent="0.3">
      <c r="A5" s="58"/>
      <c r="B5" s="58"/>
      <c r="C5" s="58"/>
      <c r="D5" s="58"/>
      <c r="E5" s="58"/>
      <c r="F5" s="58"/>
      <c r="G5" s="161"/>
      <c r="H5" s="161"/>
      <c r="I5" s="161"/>
      <c r="J5" s="184"/>
      <c r="K5" s="185"/>
      <c r="L5" s="185"/>
      <c r="M5" s="185"/>
      <c r="N5" s="186"/>
      <c r="O5" s="186"/>
      <c r="P5" s="186"/>
      <c r="Q5" s="187"/>
      <c r="R5" s="186"/>
      <c r="S5" s="188"/>
      <c r="T5" s="188"/>
      <c r="U5" s="189"/>
      <c r="V5" s="190"/>
      <c r="W5" s="187"/>
      <c r="X5" s="187"/>
      <c r="Y5" s="186"/>
      <c r="Z5" s="191"/>
      <c r="AA5" s="191"/>
      <c r="AB5" s="191"/>
      <c r="AC5" s="192"/>
      <c r="AD5" s="193"/>
      <c r="AE5" s="193"/>
      <c r="AF5" s="193"/>
      <c r="AG5" s="193"/>
      <c r="AH5" s="194"/>
    </row>
    <row r="6" spans="1:1069" ht="24.9" customHeight="1" x14ac:dyDescent="0.3">
      <c r="A6" s="58"/>
      <c r="B6" s="58"/>
      <c r="C6" s="58"/>
      <c r="D6" s="58"/>
      <c r="E6" s="58"/>
      <c r="F6" s="58"/>
      <c r="G6" s="161"/>
      <c r="H6" s="212"/>
      <c r="I6" s="212"/>
      <c r="J6" s="213" t="s">
        <v>256</v>
      </c>
      <c r="K6" s="214"/>
      <c r="L6" s="214"/>
      <c r="M6" s="214"/>
      <c r="N6" s="214"/>
      <c r="O6" s="214"/>
      <c r="P6" s="214"/>
      <c r="Q6" s="214"/>
      <c r="R6" s="214"/>
      <c r="S6" s="215"/>
      <c r="T6" s="215"/>
      <c r="U6" s="215"/>
      <c r="V6" s="216"/>
      <c r="W6" s="214"/>
      <c r="X6" s="214"/>
      <c r="Y6" s="214"/>
      <c r="Z6" s="215"/>
      <c r="AA6" s="215"/>
      <c r="AB6" s="215"/>
      <c r="AC6" s="214"/>
      <c r="AD6" s="214"/>
      <c r="AE6" s="214"/>
      <c r="AF6" s="214"/>
      <c r="AG6" s="214"/>
      <c r="AH6" s="212"/>
      <c r="AI6" s="233">
        <v>43857</v>
      </c>
      <c r="AJ6" s="233">
        <v>43858</v>
      </c>
      <c r="AK6" s="233">
        <v>43859</v>
      </c>
      <c r="AL6" s="233">
        <v>43860</v>
      </c>
      <c r="AM6" s="233">
        <v>43861</v>
      </c>
      <c r="AN6" s="233">
        <v>43862</v>
      </c>
      <c r="AO6" s="233">
        <v>43863</v>
      </c>
      <c r="AP6" s="233">
        <v>43864</v>
      </c>
      <c r="AQ6" s="233">
        <v>43865</v>
      </c>
      <c r="AR6" s="233">
        <v>43866</v>
      </c>
      <c r="AS6" s="233">
        <v>43867</v>
      </c>
      <c r="AT6" s="233">
        <v>43868</v>
      </c>
      <c r="AU6" s="233">
        <v>43869</v>
      </c>
      <c r="AV6" s="233">
        <v>43870</v>
      </c>
      <c r="AW6" s="233">
        <v>43871</v>
      </c>
      <c r="AX6" s="233">
        <v>43872</v>
      </c>
      <c r="AY6" s="233">
        <v>43873</v>
      </c>
      <c r="AZ6" s="233">
        <v>43874</v>
      </c>
      <c r="BA6" s="233">
        <v>43875</v>
      </c>
      <c r="BB6" s="233">
        <v>43876</v>
      </c>
      <c r="BC6" s="233">
        <v>43877</v>
      </c>
      <c r="BD6" s="233">
        <v>43878</v>
      </c>
      <c r="BE6" s="233">
        <v>43879</v>
      </c>
      <c r="BF6" s="233">
        <v>43880</v>
      </c>
      <c r="BG6" s="233">
        <v>43881</v>
      </c>
      <c r="BH6" s="233">
        <v>43882</v>
      </c>
      <c r="BI6" s="233">
        <v>43883</v>
      </c>
      <c r="BJ6" s="233">
        <v>43884</v>
      </c>
      <c r="BK6" s="233">
        <v>43885</v>
      </c>
      <c r="BL6" s="233">
        <v>43886</v>
      </c>
      <c r="BM6" s="233">
        <v>43887</v>
      </c>
      <c r="BN6" s="233">
        <v>43888</v>
      </c>
      <c r="BO6" s="233">
        <v>43889</v>
      </c>
      <c r="BP6" s="233">
        <v>43890</v>
      </c>
      <c r="BQ6" s="233">
        <v>43891</v>
      </c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</row>
    <row r="7" spans="1:1069" ht="14.1" customHeight="1" x14ac:dyDescent="0.3">
      <c r="A7" s="61"/>
      <c r="B7" s="61"/>
      <c r="C7" s="61"/>
      <c r="D7" s="61"/>
      <c r="E7" s="61"/>
      <c r="F7" s="61"/>
      <c r="G7" s="159"/>
      <c r="H7" s="159"/>
      <c r="I7" s="159"/>
      <c r="J7" s="118" t="s">
        <v>257</v>
      </c>
      <c r="K7" s="122"/>
      <c r="L7" s="122"/>
      <c r="M7" s="122"/>
      <c r="N7" s="123"/>
      <c r="O7" s="123"/>
      <c r="P7" s="123"/>
      <c r="Q7" s="124"/>
      <c r="R7" s="124"/>
      <c r="S7" s="125"/>
      <c r="T7" s="125"/>
      <c r="U7" s="125"/>
      <c r="V7" s="126"/>
      <c r="W7" s="124"/>
      <c r="X7" s="124"/>
      <c r="Y7" s="124"/>
      <c r="Z7" s="127"/>
      <c r="AA7" s="127"/>
      <c r="AB7" s="127"/>
      <c r="AC7" s="128"/>
      <c r="AD7" s="128"/>
      <c r="AE7" s="128"/>
      <c r="AF7" s="128"/>
      <c r="AG7" s="128"/>
      <c r="AH7" s="153"/>
      <c r="AI7" s="217" t="s">
        <v>248</v>
      </c>
      <c r="AJ7" s="217"/>
      <c r="AK7" s="217"/>
      <c r="AL7" s="217"/>
      <c r="AM7" s="217"/>
      <c r="AN7" s="217"/>
      <c r="AO7" s="217"/>
      <c r="AP7" s="218" t="s">
        <v>252</v>
      </c>
      <c r="AQ7" s="218"/>
      <c r="AR7" s="218"/>
      <c r="AS7" s="218"/>
      <c r="AT7" s="218"/>
      <c r="AU7" s="218"/>
      <c r="AV7" s="218"/>
      <c r="AW7" s="217" t="s">
        <v>253</v>
      </c>
      <c r="AX7" s="217"/>
      <c r="AY7" s="217"/>
      <c r="AZ7" s="217"/>
      <c r="BA7" s="217"/>
      <c r="BB7" s="217"/>
      <c r="BC7" s="217"/>
      <c r="BD7" s="218" t="s">
        <v>254</v>
      </c>
      <c r="BE7" s="218"/>
      <c r="BF7" s="218"/>
      <c r="BG7" s="218"/>
      <c r="BH7" s="218"/>
      <c r="BI7" s="218"/>
      <c r="BJ7" s="218"/>
      <c r="BK7" s="217" t="s">
        <v>255</v>
      </c>
      <c r="BL7" s="217"/>
      <c r="BM7" s="217"/>
      <c r="BN7" s="217"/>
      <c r="BO7" s="217"/>
      <c r="BP7" s="217"/>
      <c r="BQ7" s="21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</row>
    <row r="8" spans="1:1069" ht="14.1" customHeight="1" x14ac:dyDescent="0.3">
      <c r="A8" s="61"/>
      <c r="B8" s="61"/>
      <c r="C8" s="61"/>
      <c r="D8" s="61"/>
      <c r="E8" s="61"/>
      <c r="F8" s="61"/>
      <c r="G8" s="159"/>
      <c r="H8" s="159"/>
      <c r="I8" s="159"/>
      <c r="J8" s="234" t="s">
        <v>258</v>
      </c>
      <c r="K8" s="119"/>
      <c r="L8" s="119"/>
      <c r="M8" s="119"/>
      <c r="N8" s="119"/>
      <c r="O8" s="119"/>
      <c r="P8" s="119"/>
      <c r="Q8" s="119"/>
      <c r="R8" s="119"/>
      <c r="S8" s="120"/>
      <c r="T8" s="120"/>
      <c r="U8" s="120"/>
      <c r="V8" s="121"/>
      <c r="W8" s="119"/>
      <c r="X8" s="119"/>
      <c r="Y8" s="119"/>
      <c r="Z8" s="120"/>
      <c r="AA8" s="120"/>
      <c r="AB8" s="120"/>
      <c r="AC8" s="119"/>
      <c r="AD8" s="119"/>
      <c r="AE8" s="119"/>
      <c r="AF8" s="119"/>
      <c r="AG8" s="119"/>
      <c r="AH8" s="154"/>
      <c r="AI8" s="235">
        <v>27</v>
      </c>
      <c r="AJ8" s="235">
        <v>28</v>
      </c>
      <c r="AK8" s="235">
        <v>29</v>
      </c>
      <c r="AL8" s="235">
        <v>30</v>
      </c>
      <c r="AM8" s="235">
        <v>31</v>
      </c>
      <c r="AN8" s="235">
        <v>1</v>
      </c>
      <c r="AO8" s="235">
        <v>2</v>
      </c>
      <c r="AP8" s="235">
        <v>3</v>
      </c>
      <c r="AQ8" s="235">
        <v>4</v>
      </c>
      <c r="AR8" s="235">
        <v>5</v>
      </c>
      <c r="AS8" s="235">
        <v>6</v>
      </c>
      <c r="AT8" s="235">
        <v>7</v>
      </c>
      <c r="AU8" s="235">
        <v>8</v>
      </c>
      <c r="AV8" s="235">
        <v>9</v>
      </c>
      <c r="AW8" s="235">
        <v>10</v>
      </c>
      <c r="AX8" s="235">
        <v>11</v>
      </c>
      <c r="AY8" s="235">
        <v>12</v>
      </c>
      <c r="AZ8" s="235">
        <v>13</v>
      </c>
      <c r="BA8" s="235">
        <v>14</v>
      </c>
      <c r="BB8" s="235">
        <v>15</v>
      </c>
      <c r="BC8" s="235">
        <v>16</v>
      </c>
      <c r="BD8" s="235">
        <v>17</v>
      </c>
      <c r="BE8" s="235">
        <v>18</v>
      </c>
      <c r="BF8" s="235">
        <v>19</v>
      </c>
      <c r="BG8" s="235">
        <v>20</v>
      </c>
      <c r="BH8" s="235">
        <v>21</v>
      </c>
      <c r="BI8" s="235">
        <v>22</v>
      </c>
      <c r="BJ8" s="235">
        <v>23</v>
      </c>
      <c r="BK8" s="235">
        <v>24</v>
      </c>
      <c r="BL8" s="235">
        <v>25</v>
      </c>
      <c r="BM8" s="235">
        <v>26</v>
      </c>
      <c r="BN8" s="235">
        <v>27</v>
      </c>
      <c r="BO8" s="235">
        <v>28</v>
      </c>
      <c r="BP8" s="235">
        <v>29</v>
      </c>
      <c r="BQ8" s="235">
        <v>1</v>
      </c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</row>
    <row r="9" spans="1:1069" ht="23.25" customHeight="1" x14ac:dyDescent="0.3">
      <c r="A9" s="58" t="s">
        <v>17</v>
      </c>
      <c r="B9" s="58" t="s">
        <v>71</v>
      </c>
      <c r="C9" s="58" t="s">
        <v>70</v>
      </c>
      <c r="D9" s="58" t="s">
        <v>69</v>
      </c>
      <c r="E9" s="58" t="s">
        <v>68</v>
      </c>
      <c r="F9" s="58" t="s">
        <v>67</v>
      </c>
      <c r="G9" s="161"/>
      <c r="H9" s="236"/>
      <c r="I9" s="236"/>
      <c r="J9" s="237" t="s">
        <v>44</v>
      </c>
      <c r="K9" s="237" t="s">
        <v>66</v>
      </c>
      <c r="L9" s="238" t="s">
        <v>226</v>
      </c>
      <c r="M9" s="237" t="s">
        <v>227</v>
      </c>
      <c r="N9" s="238" t="s">
        <v>160</v>
      </c>
      <c r="O9" s="238" t="s">
        <v>65</v>
      </c>
      <c r="P9" s="238" t="s">
        <v>64</v>
      </c>
      <c r="Q9" s="239" t="s">
        <v>63</v>
      </c>
      <c r="R9" s="238" t="s">
        <v>62</v>
      </c>
      <c r="S9" s="239" t="s">
        <v>61</v>
      </c>
      <c r="T9" s="239" t="s">
        <v>60</v>
      </c>
      <c r="U9" s="238" t="s">
        <v>59</v>
      </c>
      <c r="V9" s="240" t="s">
        <v>130</v>
      </c>
      <c r="W9" s="239" t="s">
        <v>58</v>
      </c>
      <c r="X9" s="239" t="s">
        <v>57</v>
      </c>
      <c r="Y9" s="238" t="s">
        <v>56</v>
      </c>
      <c r="Z9" s="238" t="s">
        <v>55</v>
      </c>
      <c r="AA9" s="238" t="s">
        <v>54</v>
      </c>
      <c r="AB9" s="238" t="s">
        <v>5</v>
      </c>
      <c r="AC9" s="240" t="s">
        <v>27</v>
      </c>
      <c r="AD9" s="240" t="s">
        <v>53</v>
      </c>
      <c r="AE9" s="240" t="s">
        <v>52</v>
      </c>
      <c r="AF9" s="240" t="s">
        <v>134</v>
      </c>
      <c r="AG9" s="240" t="s">
        <v>135</v>
      </c>
      <c r="AH9" s="241"/>
      <c r="AI9" s="242" t="s">
        <v>247</v>
      </c>
      <c r="AJ9" s="242" t="s">
        <v>51</v>
      </c>
      <c r="AK9" s="242" t="s">
        <v>249</v>
      </c>
      <c r="AL9" s="242" t="s">
        <v>51</v>
      </c>
      <c r="AM9" s="242" t="s">
        <v>250</v>
      </c>
      <c r="AN9" s="243" t="s">
        <v>251</v>
      </c>
      <c r="AO9" s="243" t="s">
        <v>251</v>
      </c>
      <c r="AP9" s="242" t="s">
        <v>247</v>
      </c>
      <c r="AQ9" s="242" t="s">
        <v>51</v>
      </c>
      <c r="AR9" s="242" t="s">
        <v>249</v>
      </c>
      <c r="AS9" s="242" t="s">
        <v>51</v>
      </c>
      <c r="AT9" s="242" t="s">
        <v>250</v>
      </c>
      <c r="AU9" s="243" t="s">
        <v>251</v>
      </c>
      <c r="AV9" s="243" t="s">
        <v>251</v>
      </c>
      <c r="AW9" s="242" t="s">
        <v>247</v>
      </c>
      <c r="AX9" s="242" t="s">
        <v>51</v>
      </c>
      <c r="AY9" s="242" t="s">
        <v>249</v>
      </c>
      <c r="AZ9" s="242" t="s">
        <v>51</v>
      </c>
      <c r="BA9" s="242" t="s">
        <v>250</v>
      </c>
      <c r="BB9" s="243" t="s">
        <v>251</v>
      </c>
      <c r="BC9" s="243" t="s">
        <v>251</v>
      </c>
      <c r="BD9" s="242" t="s">
        <v>247</v>
      </c>
      <c r="BE9" s="242" t="s">
        <v>51</v>
      </c>
      <c r="BF9" s="242" t="s">
        <v>249</v>
      </c>
      <c r="BG9" s="242" t="s">
        <v>51</v>
      </c>
      <c r="BH9" s="242" t="s">
        <v>250</v>
      </c>
      <c r="BI9" s="243" t="s">
        <v>251</v>
      </c>
      <c r="BJ9" s="243" t="s">
        <v>251</v>
      </c>
      <c r="BK9" s="242" t="s">
        <v>247</v>
      </c>
      <c r="BL9" s="242" t="s">
        <v>51</v>
      </c>
      <c r="BM9" s="242" t="s">
        <v>249</v>
      </c>
      <c r="BN9" s="242" t="s">
        <v>51</v>
      </c>
      <c r="BO9" s="242" t="s">
        <v>250</v>
      </c>
      <c r="BP9" s="243" t="s">
        <v>251</v>
      </c>
      <c r="BQ9" s="243" t="s">
        <v>251</v>
      </c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</row>
    <row r="10" spans="1:1069" ht="16.5" customHeight="1" x14ac:dyDescent="0.3">
      <c r="A10" s="210" t="s">
        <v>51</v>
      </c>
      <c r="B10" s="210">
        <v>1</v>
      </c>
      <c r="G10" s="160">
        <v>0</v>
      </c>
      <c r="H10" s="244"/>
      <c r="I10" s="245" t="s">
        <v>246</v>
      </c>
      <c r="J10" s="202">
        <v>1</v>
      </c>
      <c r="K10" s="203" t="s">
        <v>50</v>
      </c>
      <c r="L10" s="246" t="s">
        <v>259</v>
      </c>
      <c r="M10" s="247" t="s">
        <v>116</v>
      </c>
      <c r="N10" s="202"/>
      <c r="O10" s="248"/>
      <c r="P10" s="219"/>
      <c r="Q10" s="219"/>
      <c r="R10" s="207"/>
      <c r="S10" s="219">
        <v>43860</v>
      </c>
      <c r="T10" s="219">
        <v>43873</v>
      </c>
      <c r="U10" s="207">
        <v>10</v>
      </c>
      <c r="V10" s="208">
        <v>0</v>
      </c>
      <c r="W10" s="219"/>
      <c r="X10" s="219"/>
      <c r="Y10" s="207"/>
      <c r="Z10" s="249"/>
      <c r="AA10" s="249"/>
      <c r="AB10" s="249"/>
      <c r="AC10" s="250"/>
      <c r="AD10" s="251"/>
      <c r="AE10" s="252"/>
      <c r="AF10" s="253"/>
      <c r="AG10" s="254"/>
      <c r="AH10" s="255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</row>
    <row r="11" spans="1:1069" ht="16.5" customHeight="1" x14ac:dyDescent="0.3">
      <c r="J11" s="202"/>
      <c r="K11" s="209" t="s">
        <v>49</v>
      </c>
      <c r="L11" s="209"/>
      <c r="M11" s="209"/>
      <c r="N11" s="203"/>
      <c r="O11" s="204"/>
      <c r="P11" s="221"/>
      <c r="Q11" s="219"/>
      <c r="R11" s="207"/>
      <c r="S11" s="219"/>
      <c r="T11" s="219"/>
      <c r="U11" s="207"/>
      <c r="V11" s="208"/>
      <c r="W11" s="222"/>
      <c r="X11" s="222"/>
      <c r="Y11" s="131"/>
      <c r="Z11" s="132"/>
      <c r="AA11" s="132"/>
      <c r="AB11" s="132"/>
      <c r="AC11" s="137"/>
      <c r="AD11" s="137"/>
      <c r="AE11" s="137"/>
      <c r="AF11" s="137"/>
      <c r="AG11" s="137"/>
      <c r="AH11" s="157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</row>
    <row r="12" spans="1:1069" ht="16.5" customHeight="1" x14ac:dyDescent="0.3">
      <c r="P12" s="220"/>
      <c r="Q12" s="220"/>
      <c r="S12" s="220"/>
      <c r="T12" s="220"/>
      <c r="W12" s="220"/>
      <c r="X12" s="220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</row>
    <row r="13" spans="1:1069" ht="16.5" customHeight="1" x14ac:dyDescent="0.3"/>
    <row r="14" spans="1:1069" ht="16.5" customHeight="1" x14ac:dyDescent="0.3"/>
    <row r="15" spans="1:1069" ht="16.5" customHeight="1" x14ac:dyDescent="0.3"/>
    <row r="16" spans="1:1069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</sheetData>
  <sheetProtection algorithmName="SHA-512" hashValue="zNWBOcWyOL/qkN9qZUte3ERClq0qjOpTKOTlaqZulhIarB0ItGVpA6CUk+nhhV7WejPek+XosuMzwZz0uASnJg==" saltValue="dDMY8vv7J8+d+WBj69uo1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28E6-E332-45AF-B578-F961720C1576}">
  <sheetPr codeName="GST1"/>
  <dimension ref="A1:LZ7"/>
  <sheetViews>
    <sheetView workbookViewId="0"/>
  </sheetViews>
  <sheetFormatPr defaultColWidth="9.109375" defaultRowHeight="14.4" x14ac:dyDescent="0.3"/>
  <cols>
    <col min="1" max="16384" width="9.109375" style="211"/>
  </cols>
  <sheetData>
    <row r="1" spans="1:338" x14ac:dyDescent="0.3">
      <c r="A1" s="60" t="s">
        <v>221</v>
      </c>
      <c r="B1" s="60" t="s">
        <v>236</v>
      </c>
      <c r="C1" s="58" t="s">
        <v>89</v>
      </c>
      <c r="D1" s="58" t="s">
        <v>132</v>
      </c>
      <c r="E1" s="58" t="s">
        <v>92</v>
      </c>
      <c r="F1" s="58" t="s">
        <v>107</v>
      </c>
      <c r="G1" s="58" t="s">
        <v>7</v>
      </c>
      <c r="H1" s="58" t="s">
        <v>9</v>
      </c>
      <c r="I1" s="58" t="s">
        <v>109</v>
      </c>
      <c r="J1" s="58" t="s">
        <v>108</v>
      </c>
      <c r="K1" s="58" t="s">
        <v>146</v>
      </c>
      <c r="L1" s="58" t="s">
        <v>138</v>
      </c>
      <c r="M1" s="58" t="s">
        <v>139</v>
      </c>
      <c r="N1" s="58" t="s">
        <v>105</v>
      </c>
      <c r="O1" s="58" t="s">
        <v>104</v>
      </c>
      <c r="P1" s="58" t="s">
        <v>103</v>
      </c>
      <c r="Q1" s="58" t="s">
        <v>102</v>
      </c>
      <c r="R1" s="58" t="s">
        <v>207</v>
      </c>
      <c r="S1" s="58" t="s">
        <v>208</v>
      </c>
      <c r="T1" s="58" t="s">
        <v>209</v>
      </c>
      <c r="U1" s="58" t="s">
        <v>210</v>
      </c>
      <c r="V1" s="58" t="s">
        <v>211</v>
      </c>
      <c r="W1" s="58" t="s">
        <v>88</v>
      </c>
      <c r="X1" s="58" t="s">
        <v>87</v>
      </c>
      <c r="Y1" s="58" t="s">
        <v>90</v>
      </c>
      <c r="Z1" s="58" t="s">
        <v>224</v>
      </c>
      <c r="AA1" s="58" t="s">
        <v>106</v>
      </c>
      <c r="AB1" s="58" t="s">
        <v>94</v>
      </c>
      <c r="AC1" s="58" t="s">
        <v>83</v>
      </c>
      <c r="AD1" s="58" t="s">
        <v>82</v>
      </c>
      <c r="AE1" s="58" t="s">
        <v>81</v>
      </c>
      <c r="AF1" s="58" t="s">
        <v>80</v>
      </c>
      <c r="AG1" s="58" t="s">
        <v>79</v>
      </c>
      <c r="AH1" s="58" t="s">
        <v>78</v>
      </c>
      <c r="AI1" s="58" t="s">
        <v>77</v>
      </c>
      <c r="AJ1" s="58" t="s">
        <v>141</v>
      </c>
      <c r="AK1" s="58" t="s">
        <v>142</v>
      </c>
      <c r="AL1" s="58" t="s">
        <v>234</v>
      </c>
      <c r="AM1" s="60" t="s">
        <v>167</v>
      </c>
      <c r="AN1" s="60" t="s">
        <v>168</v>
      </c>
      <c r="AO1" s="60" t="s">
        <v>169</v>
      </c>
      <c r="AP1" s="60" t="s">
        <v>170</v>
      </c>
      <c r="AQ1" s="60" t="s">
        <v>171</v>
      </c>
      <c r="AR1" s="60" t="s">
        <v>172</v>
      </c>
      <c r="AS1" s="60" t="s">
        <v>173</v>
      </c>
      <c r="AT1" s="60" t="s">
        <v>174</v>
      </c>
      <c r="AU1" s="60" t="s">
        <v>185</v>
      </c>
      <c r="AV1" s="60" t="s">
        <v>175</v>
      </c>
      <c r="AW1" s="60" t="s">
        <v>176</v>
      </c>
      <c r="AX1" s="60" t="s">
        <v>203</v>
      </c>
      <c r="AY1" s="60" t="s">
        <v>177</v>
      </c>
      <c r="AZ1" s="60" t="s">
        <v>178</v>
      </c>
      <c r="BA1" s="60" t="s">
        <v>179</v>
      </c>
      <c r="BB1" s="60" t="s">
        <v>180</v>
      </c>
      <c r="BC1" s="60" t="s">
        <v>212</v>
      </c>
      <c r="BD1" s="60" t="s">
        <v>213</v>
      </c>
      <c r="BE1" s="60" t="s">
        <v>181</v>
      </c>
      <c r="BF1" s="60" t="s">
        <v>201</v>
      </c>
      <c r="BG1" s="60" t="s">
        <v>182</v>
      </c>
      <c r="BH1" s="60" t="s">
        <v>183</v>
      </c>
      <c r="BI1" s="60" t="s">
        <v>184</v>
      </c>
      <c r="BJ1" s="60" t="s">
        <v>225</v>
      </c>
      <c r="BK1" s="60" t="s">
        <v>228</v>
      </c>
      <c r="BL1" s="60" t="s">
        <v>229</v>
      </c>
      <c r="BM1" s="60" t="s">
        <v>230</v>
      </c>
      <c r="BN1" s="60" t="s">
        <v>231</v>
      </c>
      <c r="BO1" s="60" t="s">
        <v>232</v>
      </c>
      <c r="BP1" s="60" t="s">
        <v>233</v>
      </c>
      <c r="BQ1" s="60" t="s">
        <v>186</v>
      </c>
      <c r="BR1" s="58" t="s">
        <v>187</v>
      </c>
      <c r="BS1" s="58" t="s">
        <v>188</v>
      </c>
      <c r="BT1" s="58" t="s">
        <v>189</v>
      </c>
      <c r="BU1" s="58" t="s">
        <v>190</v>
      </c>
      <c r="BV1" s="58" t="s">
        <v>191</v>
      </c>
      <c r="BW1" s="58" t="s">
        <v>192</v>
      </c>
      <c r="BX1" s="58" t="s">
        <v>193</v>
      </c>
      <c r="BY1" s="58" t="s">
        <v>194</v>
      </c>
      <c r="BZ1" s="58" t="s">
        <v>195</v>
      </c>
      <c r="CA1" s="58" t="s">
        <v>196</v>
      </c>
      <c r="CB1" s="58" t="s">
        <v>197</v>
      </c>
      <c r="CC1" s="58" t="s">
        <v>199</v>
      </c>
      <c r="CD1" s="58" t="s">
        <v>198</v>
      </c>
      <c r="CE1" s="58" t="s">
        <v>202</v>
      </c>
      <c r="CF1" s="58" t="s">
        <v>204</v>
      </c>
      <c r="CG1" s="58" t="s">
        <v>205</v>
      </c>
      <c r="CH1" s="58" t="s">
        <v>206</v>
      </c>
      <c r="CI1" s="58" t="s">
        <v>196</v>
      </c>
      <c r="CJ1" s="58" t="s">
        <v>197</v>
      </c>
      <c r="CK1" s="58" t="s">
        <v>199</v>
      </c>
      <c r="CL1" s="58" t="s">
        <v>198</v>
      </c>
      <c r="CM1" s="58" t="s">
        <v>202</v>
      </c>
      <c r="CN1" s="58" t="s">
        <v>204</v>
      </c>
      <c r="CO1" s="58" t="s">
        <v>205</v>
      </c>
      <c r="CP1" s="58" t="s">
        <v>206</v>
      </c>
      <c r="CQ1" s="61" t="s">
        <v>222</v>
      </c>
      <c r="CR1" s="61" t="s">
        <v>217</v>
      </c>
      <c r="CS1" s="61" t="s">
        <v>223</v>
      </c>
      <c r="CT1" s="61" t="s">
        <v>220</v>
      </c>
      <c r="CU1" s="61" t="s">
        <v>219</v>
      </c>
      <c r="CV1" s="61" t="s">
        <v>239</v>
      </c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x14ac:dyDescent="0.3">
      <c r="A2" s="210" t="s">
        <v>200</v>
      </c>
      <c r="B2" s="210">
        <v>0</v>
      </c>
      <c r="C2" s="58" t="s">
        <v>74</v>
      </c>
      <c r="D2" s="58" t="s">
        <v>133</v>
      </c>
      <c r="E2" s="58" t="b">
        <v>1</v>
      </c>
      <c r="F2" s="62" t="s">
        <v>11</v>
      </c>
      <c r="G2" s="63">
        <v>0</v>
      </c>
      <c r="H2" s="63">
        <v>0</v>
      </c>
      <c r="I2" s="62"/>
      <c r="J2" s="62">
        <v>0</v>
      </c>
      <c r="K2" s="62" t="b">
        <v>0</v>
      </c>
      <c r="L2" s="62" t="b">
        <v>1</v>
      </c>
      <c r="M2" s="62" t="b">
        <v>1</v>
      </c>
      <c r="N2" s="62">
        <v>1</v>
      </c>
      <c r="O2" s="62">
        <v>1</v>
      </c>
      <c r="P2" s="62">
        <v>1</v>
      </c>
      <c r="Q2" s="62">
        <v>1</v>
      </c>
      <c r="R2" s="62" t="b">
        <v>1</v>
      </c>
      <c r="S2" s="62" t="b">
        <v>1</v>
      </c>
      <c r="T2" s="62" t="b">
        <v>1</v>
      </c>
      <c r="U2" s="62" t="b">
        <v>1</v>
      </c>
      <c r="V2" s="62" t="b">
        <v>1</v>
      </c>
      <c r="W2" s="58" t="b">
        <v>1</v>
      </c>
      <c r="X2" s="58" t="b">
        <v>0</v>
      </c>
      <c r="Y2" s="58">
        <v>0</v>
      </c>
      <c r="Z2" s="62">
        <v>1</v>
      </c>
      <c r="AA2" s="62" t="s">
        <v>75</v>
      </c>
      <c r="AB2" s="62">
        <v>1</v>
      </c>
      <c r="AC2" s="58" t="b">
        <v>0</v>
      </c>
      <c r="AD2" s="58">
        <v>20</v>
      </c>
      <c r="AE2" s="102" t="s">
        <v>215</v>
      </c>
      <c r="AF2" s="58" t="s">
        <v>43</v>
      </c>
      <c r="AG2" s="58" t="b">
        <v>1</v>
      </c>
      <c r="AH2" s="58" t="b">
        <v>0</v>
      </c>
      <c r="AI2" s="58" t="b">
        <v>0</v>
      </c>
      <c r="AJ2" s="58" t="s">
        <v>143</v>
      </c>
      <c r="AK2" s="58" t="s">
        <v>144</v>
      </c>
      <c r="AL2" s="58"/>
      <c r="AM2" s="210" t="s">
        <v>152</v>
      </c>
      <c r="AN2" s="210" t="s">
        <v>151</v>
      </c>
      <c r="AO2" s="65"/>
      <c r="AP2" s="176"/>
      <c r="AQ2" s="66"/>
      <c r="AR2" s="67"/>
      <c r="AS2" s="68"/>
      <c r="AT2" s="69"/>
      <c r="AU2" s="70"/>
      <c r="AV2" s="175"/>
      <c r="AW2" s="71"/>
      <c r="AX2" s="71"/>
      <c r="AY2" s="175"/>
      <c r="AZ2" s="108"/>
      <c r="BA2" s="177"/>
      <c r="BB2" s="179"/>
      <c r="BC2" s="178"/>
      <c r="BD2" s="179"/>
      <c r="BE2" s="109"/>
      <c r="BF2" s="83"/>
      <c r="BG2" s="74"/>
      <c r="BH2" s="108"/>
      <c r="BI2" s="75"/>
      <c r="BJ2" s="113"/>
      <c r="BK2" s="69"/>
      <c r="BL2" s="181"/>
      <c r="BM2" s="183"/>
      <c r="BN2" s="85"/>
      <c r="BO2" s="116"/>
      <c r="BP2" s="109"/>
      <c r="BQ2" s="210">
        <v>240</v>
      </c>
      <c r="BR2" s="76">
        <v>34</v>
      </c>
      <c r="BS2" s="58">
        <v>4</v>
      </c>
      <c r="BT2" s="58">
        <v>2</v>
      </c>
      <c r="BU2" s="58">
        <v>1</v>
      </c>
      <c r="BV2" s="58">
        <v>1</v>
      </c>
      <c r="BW2" s="58">
        <v>1</v>
      </c>
      <c r="BX2" s="58">
        <v>3</v>
      </c>
      <c r="BY2" s="58">
        <v>2.5</v>
      </c>
      <c r="BZ2" s="58">
        <v>6</v>
      </c>
      <c r="CA2" s="58">
        <v>8</v>
      </c>
      <c r="CB2" s="58">
        <v>10</v>
      </c>
      <c r="CC2" s="58">
        <v>12</v>
      </c>
      <c r="CD2" s="58">
        <v>15</v>
      </c>
      <c r="CE2" s="58" t="b">
        <v>1</v>
      </c>
      <c r="CF2" s="62" t="b">
        <v>1</v>
      </c>
      <c r="CG2" s="64">
        <v>43857</v>
      </c>
      <c r="CH2" s="64">
        <v>43891</v>
      </c>
      <c r="CI2" s="58">
        <v>6</v>
      </c>
      <c r="CJ2" s="58">
        <v>10</v>
      </c>
      <c r="CK2" s="58">
        <v>12</v>
      </c>
      <c r="CL2" s="58">
        <v>15</v>
      </c>
      <c r="CM2" s="58" t="b">
        <v>1</v>
      </c>
      <c r="CN2" s="62" t="b">
        <v>1</v>
      </c>
      <c r="CO2" s="64">
        <v>43617</v>
      </c>
      <c r="CP2" s="64">
        <v>43672</v>
      </c>
      <c r="CQ2" s="211" t="s">
        <v>245</v>
      </c>
      <c r="CR2" s="211" t="b">
        <v>1</v>
      </c>
      <c r="CS2" s="211" t="b">
        <v>1</v>
      </c>
      <c r="CT2" s="211" t="b">
        <v>1</v>
      </c>
      <c r="CU2" s="211" t="b">
        <v>1</v>
      </c>
      <c r="CV2" s="211" t="b">
        <v>1</v>
      </c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x14ac:dyDescent="0.3">
      <c r="A3" s="210"/>
      <c r="B3" s="210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210" t="s">
        <v>151</v>
      </c>
      <c r="AN3" s="210"/>
      <c r="AO3" s="65"/>
      <c r="AP3" s="77"/>
      <c r="AQ3" s="66"/>
      <c r="AR3" s="67"/>
      <c r="AS3" s="68"/>
      <c r="AT3" s="69"/>
      <c r="AU3" s="78"/>
      <c r="AV3" s="177"/>
      <c r="AW3" s="71"/>
      <c r="AX3" s="71"/>
      <c r="AY3" s="80"/>
      <c r="AZ3" s="73"/>
      <c r="BA3" s="177"/>
      <c r="BB3" s="179"/>
      <c r="BC3" s="178"/>
      <c r="BD3" s="179"/>
      <c r="BE3" s="72"/>
      <c r="BF3" s="73"/>
      <c r="BG3" s="83"/>
      <c r="BH3" s="73"/>
      <c r="BI3" s="84"/>
      <c r="BJ3" s="114"/>
      <c r="BK3" s="69"/>
      <c r="BL3" s="181"/>
      <c r="BM3" s="183"/>
      <c r="BN3" s="85"/>
      <c r="BO3" s="116"/>
      <c r="BP3" s="109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</row>
    <row r="4" spans="1:338" x14ac:dyDescent="0.3">
      <c r="A4" s="210"/>
      <c r="B4" s="210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210" t="s">
        <v>153</v>
      </c>
      <c r="AN4" s="210"/>
      <c r="AO4" s="72"/>
      <c r="AP4" s="85"/>
      <c r="AQ4" s="86"/>
      <c r="AR4" s="87"/>
      <c r="AS4" s="77"/>
      <c r="AT4" s="69"/>
      <c r="AU4" s="88"/>
      <c r="AV4" s="89"/>
      <c r="AW4" s="182"/>
      <c r="AX4" s="182"/>
      <c r="AY4" s="86"/>
      <c r="AZ4" s="72"/>
      <c r="BA4" s="177"/>
      <c r="BB4" s="179"/>
      <c r="BC4" s="178"/>
      <c r="BD4" s="179"/>
      <c r="BE4" s="82"/>
      <c r="BF4" s="90"/>
      <c r="BG4" s="210"/>
      <c r="BH4" s="210"/>
      <c r="BI4" s="84"/>
      <c r="BJ4" s="110"/>
      <c r="BK4" s="69"/>
      <c r="BL4" s="181"/>
      <c r="BM4" s="183"/>
      <c r="BN4" s="85"/>
      <c r="BO4" s="116"/>
      <c r="BP4" s="109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</row>
    <row r="5" spans="1:338" x14ac:dyDescent="0.3">
      <c r="A5" s="210"/>
      <c r="B5" s="210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210" t="s">
        <v>150</v>
      </c>
      <c r="AN5" s="210"/>
      <c r="AO5" s="91"/>
      <c r="AP5" s="180"/>
      <c r="AQ5" s="92"/>
      <c r="AR5" s="93"/>
      <c r="AS5" s="94"/>
      <c r="AT5" s="69"/>
      <c r="AU5" s="78"/>
      <c r="AV5" s="95"/>
      <c r="AW5" s="79"/>
      <c r="AX5" s="79"/>
      <c r="AY5" s="84"/>
      <c r="AZ5" s="96"/>
      <c r="BA5" s="177"/>
      <c r="BB5" s="179"/>
      <c r="BC5" s="178"/>
      <c r="BD5" s="179"/>
      <c r="BE5" s="97"/>
      <c r="BF5" s="81"/>
      <c r="BG5" s="110"/>
      <c r="BH5" s="83"/>
      <c r="BI5" s="84"/>
      <c r="BJ5" s="110"/>
      <c r="BK5" s="69"/>
      <c r="BL5" s="181"/>
      <c r="BM5" s="183"/>
      <c r="BN5" s="85"/>
      <c r="BO5" s="116"/>
      <c r="BP5" s="109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</row>
    <row r="6" spans="1:338" x14ac:dyDescent="0.3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U6" s="210"/>
      <c r="V6" s="210"/>
      <c r="W6" s="210"/>
      <c r="X6" s="210"/>
      <c r="Y6" s="210"/>
      <c r="Z6" s="210"/>
      <c r="AA6" s="210"/>
      <c r="AB6" s="210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 t="s">
        <v>154</v>
      </c>
      <c r="AN6" s="210"/>
      <c r="AO6" s="65"/>
      <c r="AP6" s="77"/>
      <c r="AQ6" s="66"/>
      <c r="AR6" s="67"/>
      <c r="AS6" s="68"/>
      <c r="AT6" s="69"/>
      <c r="AU6" s="78"/>
      <c r="AV6" s="177"/>
      <c r="AW6" s="71"/>
      <c r="AX6" s="71"/>
      <c r="AY6" s="80"/>
      <c r="AZ6" s="73"/>
      <c r="BA6" s="177"/>
      <c r="BB6" s="179"/>
      <c r="BC6" s="178"/>
      <c r="BD6" s="179"/>
      <c r="BE6" s="72"/>
      <c r="BF6" s="73"/>
      <c r="BG6" s="83"/>
      <c r="BH6" s="73"/>
      <c r="BI6" s="84"/>
      <c r="BJ6" s="114"/>
      <c r="BK6" s="69"/>
      <c r="BL6" s="181"/>
      <c r="BM6" s="183"/>
      <c r="BN6" s="85"/>
      <c r="BO6" s="116"/>
      <c r="BP6" s="109"/>
      <c r="BQ6" s="210"/>
      <c r="BR6" s="210"/>
      <c r="BS6" s="210"/>
      <c r="BT6" s="210"/>
      <c r="BU6" s="210"/>
      <c r="BV6" s="210"/>
      <c r="BW6" s="210"/>
      <c r="BX6" s="210"/>
      <c r="BY6" s="210"/>
      <c r="BZ6" s="210"/>
      <c r="CA6" s="210"/>
      <c r="CB6" s="210"/>
      <c r="CC6" s="210"/>
      <c r="CD6" s="210"/>
      <c r="CE6" s="210"/>
      <c r="CF6" s="210"/>
      <c r="CG6" s="210"/>
      <c r="CH6" s="210"/>
      <c r="CI6" s="210"/>
      <c r="CJ6" s="210"/>
      <c r="CK6" s="210"/>
      <c r="CL6" s="210"/>
      <c r="CM6" s="210"/>
      <c r="CN6" s="210"/>
      <c r="CO6" s="210"/>
      <c r="CP6" s="210"/>
    </row>
    <row r="7" spans="1:338" x14ac:dyDescent="0.3">
      <c r="A7" s="210"/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D7" s="210"/>
      <c r="AE7" s="210"/>
      <c r="AF7" s="210"/>
      <c r="AG7" s="210"/>
      <c r="AH7" s="210"/>
      <c r="AI7" s="210"/>
      <c r="AJ7" s="210"/>
      <c r="AK7" s="210"/>
      <c r="AL7" s="210"/>
      <c r="AM7" s="210"/>
      <c r="AN7" s="210"/>
      <c r="AO7" s="65"/>
      <c r="AP7" s="77"/>
      <c r="AQ7" s="66"/>
      <c r="AR7" s="67"/>
      <c r="AS7" s="68"/>
      <c r="AT7" s="69"/>
      <c r="AU7" s="78"/>
      <c r="AV7" s="177"/>
      <c r="AW7" s="71"/>
      <c r="AX7" s="71"/>
      <c r="AY7" s="80"/>
      <c r="AZ7" s="73"/>
      <c r="BA7" s="177"/>
      <c r="BB7" s="179"/>
      <c r="BC7" s="178"/>
      <c r="BD7" s="179"/>
      <c r="BE7" s="72"/>
      <c r="BF7" s="73"/>
      <c r="BG7" s="83"/>
      <c r="BH7" s="73"/>
      <c r="BI7" s="84"/>
      <c r="BJ7" s="114"/>
      <c r="BK7" s="69"/>
      <c r="BL7" s="181"/>
      <c r="BM7" s="183"/>
      <c r="BN7" s="85"/>
      <c r="BO7" s="116"/>
      <c r="BP7" s="109"/>
      <c r="BQ7" s="210"/>
      <c r="BR7" s="210"/>
      <c r="BS7" s="210"/>
      <c r="BT7" s="210"/>
      <c r="BU7" s="210"/>
      <c r="BV7" s="210"/>
      <c r="BW7" s="210"/>
      <c r="BX7" s="210"/>
      <c r="BY7" s="210"/>
      <c r="BZ7" s="210"/>
      <c r="CA7" s="210"/>
      <c r="CB7" s="210"/>
      <c r="CC7" s="210"/>
      <c r="CD7" s="210"/>
      <c r="CE7" s="210"/>
      <c r="CF7" s="210"/>
      <c r="CG7" s="210"/>
      <c r="CH7" s="210"/>
      <c r="CI7" s="210"/>
      <c r="CJ7" s="210"/>
      <c r="CK7" s="210"/>
      <c r="CL7" s="210"/>
      <c r="CM7" s="210"/>
      <c r="CN7" s="210"/>
      <c r="CO7" s="210"/>
      <c r="CP7" s="210"/>
    </row>
  </sheetData>
  <sheetProtection formatCells="0" formatColumns="0" formatRows="0" insertHyperlinks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1E5B4-9B45-4E3A-AF1B-D5267AB958DA}">
  <sheetPr codeName="GRT1"/>
  <dimension ref="A1:T2"/>
  <sheetViews>
    <sheetView workbookViewId="0"/>
  </sheetViews>
  <sheetFormatPr defaultColWidth="9.109375" defaultRowHeight="14.4" x14ac:dyDescent="0.3"/>
  <cols>
    <col min="1" max="16384" width="9.109375" style="211"/>
  </cols>
  <sheetData>
    <row r="1" spans="1:20" x14ac:dyDescent="0.3">
      <c r="A1" s="51" t="s">
        <v>160</v>
      </c>
      <c r="B1" s="51" t="s">
        <v>54</v>
      </c>
      <c r="C1" s="51" t="s">
        <v>164</v>
      </c>
      <c r="D1" s="51" t="s">
        <v>166</v>
      </c>
      <c r="E1" s="51"/>
      <c r="F1" s="51"/>
      <c r="G1" s="51"/>
      <c r="H1" s="51"/>
      <c r="I1" s="51"/>
      <c r="J1" s="51"/>
      <c r="K1" s="52" t="s">
        <v>161</v>
      </c>
      <c r="L1" s="52" t="s">
        <v>162</v>
      </c>
      <c r="M1" s="53" t="s">
        <v>101</v>
      </c>
      <c r="N1" s="53" t="s">
        <v>100</v>
      </c>
      <c r="O1" s="53" t="s">
        <v>99</v>
      </c>
      <c r="P1" s="53" t="s">
        <v>98</v>
      </c>
      <c r="Q1" s="53" t="s">
        <v>97</v>
      </c>
      <c r="R1" s="53" t="s">
        <v>96</v>
      </c>
      <c r="S1" s="53" t="s">
        <v>95</v>
      </c>
      <c r="T1" s="54" t="s">
        <v>155</v>
      </c>
    </row>
    <row r="2" spans="1:20" x14ac:dyDescent="0.3">
      <c r="A2" s="55" t="s">
        <v>163</v>
      </c>
      <c r="B2" s="55"/>
      <c r="C2" s="55" t="b">
        <v>0</v>
      </c>
      <c r="D2" s="55"/>
      <c r="E2" s="143" t="s">
        <v>165</v>
      </c>
      <c r="F2" s="55"/>
      <c r="G2" s="55"/>
      <c r="H2" s="55"/>
      <c r="I2" s="55"/>
      <c r="J2" s="55"/>
      <c r="K2" s="56">
        <v>0.375</v>
      </c>
      <c r="L2" s="56">
        <v>0.75</v>
      </c>
      <c r="M2" s="55">
        <v>0</v>
      </c>
      <c r="N2" s="55">
        <v>1</v>
      </c>
      <c r="O2" s="55">
        <v>1</v>
      </c>
      <c r="P2" s="55">
        <v>1</v>
      </c>
      <c r="Q2" s="55">
        <v>1</v>
      </c>
      <c r="R2" s="55">
        <v>1</v>
      </c>
      <c r="S2" s="55">
        <v>0</v>
      </c>
      <c r="T2" s="57"/>
    </row>
  </sheetData>
  <sheetProtection formatCells="0" formatColumns="0" formatRows="0" insertHyperlinks="0" autoFilter="0"/>
  <pageMargins left="0.7" right="0.7" top="0.75" bottom="0.75" header="0.3" footer="0.3"/>
  <pageSetup orientation="portrait" r:id="rId1"/>
</worksheet>
</file>

<file path=customUI/_rels/customUI.xml.rels><?xml version="1.0" encoding="UTF-8" standalone="yes"?>
<Relationships xmlns="http://schemas.openxmlformats.org/package/2006/relationships"><Relationship Id="addtaskbelowselection.png" Type="http://schemas.openxmlformats.org/officeDocument/2006/relationships/image" Target="images/addtaskbelowselection.png"/><Relationship Id="Upgrade64.png" Type="http://schemas.openxmlformats.org/officeDocument/2006/relationships/image" Target="images/Upgrade64.png"/><Relationship Id="ExportToPDF.png" Type="http://schemas.openxmlformats.org/officeDocument/2006/relationships/image" Target="images/ExportToPDF.png"/><Relationship Id="Settings64.png" Type="http://schemas.openxmlformats.org/officeDocument/2006/relationships/image" Target="images/Settings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ScrolltoEnd.png" Type="http://schemas.openxmlformats.org/officeDocument/2006/relationships/image" Target="images/ScrolltoEnd.png"/><Relationship Id="YearlyView.png" Type="http://schemas.openxmlformats.org/officeDocument/2006/relationships/image" Target="images/YearlyView.png"/><Relationship Id="DailyView.png" Type="http://schemas.openxmlformats.org/officeDocument/2006/relationships/image" Target="images/DailyView.png"/><Relationship Id="SetupTimeline.png" Type="http://schemas.openxmlformats.org/officeDocument/2006/relationships/image" Target="images/SetupTimeline.png"/><Relationship Id="AddTask.png" Type="http://schemas.openxmlformats.org/officeDocument/2006/relationships/image" Target="images/AddTask64.png"/><Relationship Id="HalfYearlyView.png" Type="http://schemas.openxmlformats.org/officeDocument/2006/relationships/image" Target="images/HalfYearlyView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ExportToXLSX.png" Type="http://schemas.openxmlformats.org/officeDocument/2006/relationships/image" Target="images/ExportToXLSX.png"/><Relationship Id="DailyView64.png" Type="http://schemas.openxmlformats.org/officeDocument/2006/relationships/image" Target="images/daily64.png"/><Relationship Id="QuarterlyView.png" Type="http://schemas.openxmlformats.org/officeDocument/2006/relationships/image" Target="images/QuarterlyView.png"/><Relationship Id="MonthlyView.png" Type="http://schemas.openxmlformats.org/officeDocument/2006/relationships/image" Target="images/MonthlyView.png"/><Relationship Id="HourlyView.png" Type="http://schemas.openxmlformats.org/officeDocument/2006/relationships/image" Target="images/HourlyView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dash64.png" Type="http://schemas.openxmlformats.org/officeDocument/2006/relationships/image" Target="images/dash64.png"/><Relationship Id="AddMilestone.png" Type="http://schemas.openxmlformats.org/officeDocument/2006/relationships/image" Target="images/AddMilestone.png"/><Relationship Id="WeeklyView.png" Type="http://schemas.openxmlformats.org/officeDocument/2006/relationships/image" Target="images/WeeklyView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ScrolltoStart.png" Type="http://schemas.openxmlformats.org/officeDocument/2006/relationships/image" Target="images/ScrolltoStart.png"/><Relationship Id="ScrolltoToday.png" Type="http://schemas.openxmlformats.org/officeDocument/2006/relationships/image" Target="images/ScrolltoToday.png"/><Relationship Id="moreviews.png" Type="http://schemas.openxmlformats.org/officeDocument/2006/relationships/image" Target="images/moreviews.png"/><Relationship Id="EditTask64.png" Type="http://schemas.openxmlformats.org/officeDocument/2006/relationships/image" Target="images/EditTask64.png"/><Relationship Id="AddGanttChart64.png" Type="http://schemas.openxmlformats.org/officeDocument/2006/relationships/image" Target="images/AddGanttChart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Add New Gantt Chart" size="large" onAction="OnActionButton" image="AddGanttChart64.png" getEnabled="GetEnabled" keytip="C" screentip="Add New Gantt Chart Worksheet"/>
          <button id="btnEditGanttChart" label="Edit Project" size="normal" onAction="btnEditGanttChart" image="editproject.png" getEnabled="GetEnabled" keytip="P" screentip="Edit Project Details"/>
          <button id="btnDashboard" label="Dashboard" size="normal" onAction="btnDashboardRib" image="dash64.png" keytip="B" getEnabled="GetEnabled" screentip="Generate Project Dashboard"/>
        </group>
        <group id="grpCreateEditDelete" label="Tasks" getVisible="GetVisible">
          <button id="btnAddTaskAtSelection" label="Add Task" size="large" onAction="AddTaskAtSelection" image="AddTask.png" keytip="A" getEnabled="GetEnabled" screentip="Add Task"/>
          <button id="btnSetMilestone" label="Add Milestone" size="large" onAction="AddMilestone" getEnabled="GetEnabled" image="AddMilestone.png" keytip="M" screentip="Add Milestone"/>
          <button id="btnEdit" label="Edit" size="normal" onAction="EditTask" getEnabled="GetEnabled" image="EditTask64.png" screentip="Edit task" keytip="E"/>
          <button id="btnDuplicate" label="Duplicate" screentip="Duplicate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Set as Parent Task" supertip="Alt + Left Arrow" image="makeparent16.png" onAction="tIndentLeft" keytip="TP" getEnabled="GetEnabled"/>
          <button id="btnChild" label="Make Child" size="normal" screentip="Set as Child Task" supertip="Alt + Right Arrow" image="makechild16.png" onAction="tIndentRight" keytip="TC" getEnabled="GetEnabled"/>
          <separator id="sep199"/>
          <button id="btnMoveUp" label="Move Up" size="normal" screentip="Move task up" supertip="Alt + Up Arrow" image="moveupblue16.png" onAction="MoveUpAboveRib" keytip="TU" getEnabled="GetEnabled"/>
          <button id="btnMoveDown" label="Move Down" size="normal" screentip="Move task down" supertip="Alt + Down Arrow" image="movedownblue16.png" onAction="MoveDownBelowRib" keytip="TD" getEnabled="GetEnabled"/>
        </group>
        <group id="grpDisplay6" label=" " getVisible="GetVisible">
          <button id="btnHourly" onAction="HourlyViewRib" label="Hourly View" image="HourlyView.png" screentip="Hourly View" size="large" getVisible="GetVisiblev" getEnabled="GetEnabled" keytip="VH"/>
        </group>
        <group id="grpDisplay1" label="Timeline" getVisible="GetVisible">
          <button id="btnDaily" label="Daily View" onAction="DailyViewRib" getEnabled="GetEnabled" image="DailyView64.png" screentip="Daily View" size="large" keytip="VD"/>
          <menu id="mnuMoreViews" label="More Views" image="moreviews.png" size="large" itemSize="large" screentip="More Views" keytip="VE">
            <button id="btnWeekly" label="Weekly View" onAction="WeeklyViewRib" getEnabled="GetEnabled" image="WeeklyView.png" screentip="Weekly View" keytip="VW"/>
            <button id="btnMonthly" label="Monthly View" onAction="MonthlyViewRib" getEnabled="GetEnabled" image="MonthlyView.png" screentip="Monthly View" keytip="VM"/>
            <button id="btnQuarterlyView" label="&amp;Quarterly View" onAction="OnActionButton" image="QuarterlyView.png" getEnabled="GetEnabled" screentip="Quarterly View"/>
            <button id="btnHalfYearlyView" label="&amp;Half Yearly View" onAction="OnActionButton" image="HalfYearlyView.png" getEnabled="GetEnabled" screentip="Half Yearly View"/>
            <button id="btnYearlyView" label="&amp;Yearly View" onAction="OnActionButton" image="YearlyView.png" getEnabled="GetEnabled" screentip="Yearly View"/>
          </menu>
          <separator id="timelinesep1"/>
          <button id="btnSetupTimeline" label="Setup Timeline" onAction="SetupTimelineRib" getEnabled="GetEnabled" image="SetupTimeline.png" screentip="Setup Timeline Dates" size="normal"/>
          <checkBox id="ShowTimeline" label="Show Timeline" onAction="OnActionCheckbox" getPressed="GetPressedCheckbox" getEnabled="GetEnabled"/>
          <checkBox id="RefreshTimeline" label="Refresh Timeline" onAction="OnActionCheckbox" getPressed="GetPressedCheckbox" getEnabled="GetEnabled"/>
          <button id="btnGotoStart" label="Scroll to Start" onAction="GotoStartRib" getEnabled="GetEnabled" image="ScrolltoStart.png" screentip="Scroll to start of project" keytip="SS" size="normal"/>
          <button id="btnGotoToday" label="Scroll to Today" onAction="GotoTodayRib" getEnabled="GetEnabled" image="ScrolltoToday.png" screentip="Scroll to today" keytip="ST" size="normal"/>
          <button id="btnGotoEnd" label="Scroll to End" onAction="GotoEndRib" getEnabled="GetEnabled" image="ScrolltoEnd.png" keytip="SE" screentip="Scroll to end of project" size="normal"/>
        </group>
        <group id="grpDisplay5" label="Filters" getVisible="GetVisible">
          <checkBox id="chkShowCompleted" label="Show Completed" onAction="OnActionCheckbox" getPressed="GetPressedCheckbox" getEnabled="GetEnabled"/>
          <checkBox id="chkShowInProgress" label="Show In Progress" onAction="OnActionCheckbox" getPressed="GetPressedCheckbox" getEnabled="GetEnabled"/>
          <checkBox id="chkShowPlanned" label="Show Planned" onAction="OnActionCheckbox" getPressed="GetPressedCheckbox" getEnabled="GetEnabled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 task group" imageMso="OutlineShowDetail" onAction="OutlineShowDetailRib" getEnabled="GetEnabled"/>
          <button id="btnCollapseAllGroups" label="Collapse Groups" size="normal" screentip="Collapse group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imageMso="ColumnWidth" label="Auto Col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Settings" getVisible="GetVisible">
          <button id="btnResources" size="large" label="Resources" image="Resources64.png" onAction="ShowResources" getEnabled="GetEnabled" keytip="R"/>
          <button id="btnSettings" size="large" label="Settings" image="Settings64.png" onAction="ShowSettings" keytip="N" getEnabled="GetEnabled"/>
          <button id="btnExportToPDF" size="large" label="Export to PDF" image="ExportToPDF.png" onAction="ExportToPDF" getEnabled="GetEnabled"/>
          <button id="btnExportToXLSX" size="large" label="Export to XLSX" image="ExportToXLSX.png" onAction="ExportToXLSX" getEnabled="GetEnabled"/>
        </group>
        <group id="grpAboutGanttExcel" label="Gantt 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Help</vt:lpstr>
      <vt:lpstr>Project Plan</vt:lpstr>
      <vt:lpstr>GanttDashboardTemplate!Afdrukbereik</vt:lpstr>
      <vt:lpstr>GanttDashboardTemplate!Afdruktitels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robwessels</cp:lastModifiedBy>
  <cp:revision>0</cp:revision>
  <cp:lastPrinted>2019-12-23T14:38:01Z</cp:lastPrinted>
  <dcterms:created xsi:type="dcterms:W3CDTF">2016-09-10T13:03:48Z</dcterms:created>
  <dcterms:modified xsi:type="dcterms:W3CDTF">2020-01-30T13:19:31Z</dcterms:modified>
  <cp:category>Excel Template</cp:category>
  <cp:version>3.0</cp:version>
</cp:coreProperties>
</file>